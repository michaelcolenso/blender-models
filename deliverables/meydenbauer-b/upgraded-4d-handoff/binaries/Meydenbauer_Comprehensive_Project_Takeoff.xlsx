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2"/>
    <sheet name="Finish Allowances" sheetId="2" state="visible" r:id="rId3"/>
    <sheet name="DWV Model" sheetId="3" state="visible" r:id="rId4"/>
    <sheet name="Master Takeoff" sheetId="4" state="visible" r:id="rId5"/>
    <sheet name="Scope Register" sheetId="5" state="visible" r:id="rId6"/>
    <sheet name="Sources &amp; Assumptions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<sst xmlns="http://schemas.openxmlformats.org/spreadsheetml/2006/main" count="2031" uniqueCount="646">
  <si>
    <t xml:space="preserve">101 Meydenbauer · Comprehensive Project Takeoff</t>
  </si>
  <si>
    <t xml:space="preserve">Project 25-048 · Building B · Units B101–B104 · Addendum #1 + coordinated DWV model · Revision 25 Oct 2026</t>
  </si>
  <si>
    <t xml:space="preserve">Key quantities</t>
  </si>
  <si>
    <t xml:space="preserve">New Schedule 40 ABS (LF)</t>
  </si>
  <si>
    <t xml:space="preserve">Tile / stone allowance (SF)</t>
  </si>
  <si>
    <t xml:space="preserve">Engineered wood allowance (SF)</t>
  </si>
  <si>
    <t xml:space="preserve">Concrete repair allowance (SF)</t>
  </si>
  <si>
    <t xml:space="preserve">Carpet allowance (SF)</t>
  </si>
  <si>
    <t xml:space="preserve">Quartz countertop allowance (SF)</t>
  </si>
  <si>
    <t xml:space="preserve">Unit summary</t>
  </si>
  <si>
    <t xml:space="preserve">Unit</t>
  </si>
  <si>
    <t xml:space="preserve">New ABS (LF)</t>
  </si>
  <si>
    <t xml:space="preserve">Tile / stone (SF)</t>
  </si>
  <si>
    <t xml:space="preserve">Carpet (SF)</t>
  </si>
  <si>
    <t xml:space="preserve">Engineered wood (SF)</t>
  </si>
  <si>
    <t xml:space="preserve">Quartz (SF)</t>
  </si>
  <si>
    <t xml:space="preserve">Base WC R&amp;R (EA)</t>
  </si>
  <si>
    <t xml:space="preserve">Alternate tubs (EA)</t>
  </si>
  <si>
    <t xml:space="preserve">B101</t>
  </si>
  <si>
    <t xml:space="preserve">B102</t>
  </si>
  <si>
    <t xml:space="preserve">B103</t>
  </si>
  <si>
    <t xml:space="preserve">B104</t>
  </si>
  <si>
    <t xml:space="preserve">TOTAL</t>
  </si>
  <si>
    <t xml:space="preserve">Workbook map</t>
  </si>
  <si>
    <t xml:space="preserve">Master Takeoff</t>
  </si>
  <si>
    <t xml:space="preserve">All numeric scope lines, base bid, allowances, testing, closeout and alternates</t>
  </si>
  <si>
    <t xml:space="preserve">DWV Model</t>
  </si>
  <si>
    <t xml:space="preserve">Route-by-route 3D measurement basis and retained / existing pipe separation</t>
  </si>
  <si>
    <t xml:space="preserve">Finish Allowances</t>
  </si>
  <si>
    <t xml:space="preserve">All 24 Addendum #1 allowance items and finish descriptions</t>
  </si>
  <si>
    <t xml:space="preserve">Scope Register</t>
  </si>
  <si>
    <t xml:space="preserve">Execution requirements and inclusions that accompany the quantities</t>
  </si>
  <si>
    <t xml:space="preserve">Sources &amp; Assumptions</t>
  </si>
  <si>
    <t xml:space="preserve">Precedence, measurement rules, exclusions and field-verification requirements</t>
  </si>
  <si>
    <t xml:space="preserve">Quantity reconciliation: 311.65 LF new ABS · 6.13 LF retained prior 4-inch ABS (excluded from new work) · 11.88 CY planning concrete at 5.5-inch thickness (derived, not a separate pay quantity)</t>
  </si>
  <si>
    <t xml:space="preserve">CONTROL NOTE — Contract quantities and final accepted in-place measurements govern. Model quantities are coordination-derived and require field verification. This workbook is unpriced and is not a fabrication bill of materials or surveyed as-built.</t>
  </si>
  <si>
    <t xml:space="preserve">Contract finish &amp; concrete allowances</t>
  </si>
  <si>
    <t xml:space="preserve">Quantities are contract allowances, not final in-place measurements. Addendum #1 supersedes earlier finish descriptions. Installation inclusions are summarized below.</t>
  </si>
  <si>
    <t xml:space="preserve">Allowance</t>
  </si>
  <si>
    <t xml:space="preserve">Location</t>
  </si>
  <si>
    <t xml:space="preserve">Finish code</t>
  </si>
  <si>
    <t xml:space="preserve">Finish / scope description</t>
  </si>
  <si>
    <t xml:space="preserve">Quantity</t>
  </si>
  <si>
    <t xml:space="preserve">UoM</t>
  </si>
  <si>
    <t xml:space="preserve">Takeoff category</t>
  </si>
  <si>
    <t xml:space="preserve">Source</t>
  </si>
  <si>
    <t xml:space="preserve">Execution inclusion</t>
  </si>
  <si>
    <t xml:space="preserve">AL-1a</t>
  </si>
  <si>
    <t xml:space="preserve">Guest Bathroom</t>
  </si>
  <si>
    <t xml:space="preserve">PT-6</t>
  </si>
  <si>
    <t xml:space="preserve">Porcelain tile — Evolution Ivory, polished, 12×24, Surface Art</t>
  </si>
  <si>
    <t xml:space="preserve">SF</t>
  </si>
  <si>
    <t xml:space="preserve">Finishes - Tile/Stone</t>
  </si>
  <si>
    <t xml:space="preserve">Addendum #1 §01 21 00 p.3; SOR p.20</t>
  </si>
  <si>
    <t xml:space="preserve">Remove existing assembly to required substrate; provide specified replacement system, accessories, receiving, handling, installation, overhead and profit.</t>
  </si>
  <si>
    <t xml:space="preserve">AL-1b</t>
  </si>
  <si>
    <t xml:space="preserve">PT-7</t>
  </si>
  <si>
    <t xml:space="preserve">Porcelain tile — Evolution Ivory, polished, 2×2, Surface Art</t>
  </si>
  <si>
    <t xml:space="preserve">AL-1c</t>
  </si>
  <si>
    <t xml:space="preserve">Master Bathroom</t>
  </si>
  <si>
    <t xml:space="preserve">PT-8</t>
  </si>
  <si>
    <t xml:space="preserve">Porcelain tile — Bernini Bianco, polished, 12×24, MSI Surfaces</t>
  </si>
  <si>
    <t xml:space="preserve">AL-1d</t>
  </si>
  <si>
    <t xml:space="preserve">C-1</t>
  </si>
  <si>
    <t xml:space="preserve">Carpet — Knitted Tone Blue 5E938, Colorwall Soft Sand 00105, Shaw Floors</t>
  </si>
  <si>
    <t xml:space="preserve">Finishes - Carpet</t>
  </si>
  <si>
    <t xml:space="preserve">AL-2a</t>
  </si>
  <si>
    <t xml:space="preserve">NS-3</t>
  </si>
  <si>
    <t xml:space="preserve">Marble Statuario, 12×24, honed, Daltile; tub/shower surround and bathroom floor</t>
  </si>
  <si>
    <t xml:space="preserve">Addendum #1 §01 21 00 p.4; SOR p.21</t>
  </si>
  <si>
    <t xml:space="preserve">AL-2b</t>
  </si>
  <si>
    <t xml:space="preserve">PT-9</t>
  </si>
  <si>
    <t xml:space="preserve">Meta Light Gray porcelain, SA06, 2×2, matte; shower floor</t>
  </si>
  <si>
    <t xml:space="preserve">AL-2c</t>
  </si>
  <si>
    <t xml:space="preserve">Guest Bathroom + Laundry</t>
  </si>
  <si>
    <t xml:space="preserve">PT-10</t>
  </si>
  <si>
    <t xml:space="preserve">Matte White Octagon / White Dot, 6501, Daltile</t>
  </si>
  <si>
    <t xml:space="preserve">AL-2d</t>
  </si>
  <si>
    <t xml:space="preserve">PT-11</t>
  </si>
  <si>
    <t xml:space="preserve">Hudson Penny Round Cashmere Blue porcelain mosaic, FKOMPR36, Merola</t>
  </si>
  <si>
    <t xml:space="preserve">Addendum #1 §01 21 00 p.4; SOR p.22</t>
  </si>
  <si>
    <t xml:space="preserve">AL-2e</t>
  </si>
  <si>
    <t xml:space="preserve">PT-12</t>
  </si>
  <si>
    <t xml:space="preserve">Perpetuo Elegant Beige geometric porcelain, PT22, 12×24, Daltile</t>
  </si>
  <si>
    <t xml:space="preserve">AL-2f</t>
  </si>
  <si>
    <t xml:space="preserve">GT-1</t>
  </si>
  <si>
    <t xml:space="preserve">Oceanique Ocean Sparkle Sky Blue glass subway tile, 2×12, Anthology</t>
  </si>
  <si>
    <t xml:space="preserve">AL-2g</t>
  </si>
  <si>
    <t xml:space="preserve">Entrance / Hallway</t>
  </si>
  <si>
    <t xml:space="preserve">NS-2</t>
  </si>
  <si>
    <t xml:space="preserve">Pental Pluvium tile; confirm final selection and match with Owner</t>
  </si>
  <si>
    <t xml:space="preserve">Addendum #1 §01 21 00 p.4</t>
  </si>
  <si>
    <t xml:space="preserve">AL-3a</t>
  </si>
  <si>
    <t xml:space="preserve">Master + Guest Bedrooms</t>
  </si>
  <si>
    <t xml:space="preserve">EHF-1</t>
  </si>
  <si>
    <t xml:space="preserve">Engineered hardwood — GW304 European White Oak, Character, 9/16×7.5×75 RL</t>
  </si>
  <si>
    <t xml:space="preserve">Finishes - Wood</t>
  </si>
  <si>
    <t xml:space="preserve">AL-4a</t>
  </si>
  <si>
    <t xml:space="preserve">Master + Guest Bathrooms</t>
  </si>
  <si>
    <t xml:space="preserve">PT-1</t>
  </si>
  <si>
    <t xml:space="preserve">Shen Series White Shades porcelain, 12×24, Arizona Tile</t>
  </si>
  <si>
    <t xml:space="preserve">Addendum #1 §01 21 00 p.5; SOR p.22</t>
  </si>
  <si>
    <t xml:space="preserve">AL-4b</t>
  </si>
  <si>
    <t xml:space="preserve">PT-2</t>
  </si>
  <si>
    <t xml:space="preserve">Shen Series White Shades porcelain mosaic, 2×2, Arizona Tile</t>
  </si>
  <si>
    <t xml:space="preserve">Addendum #1 §01 21 00 p.5; SOR p.23</t>
  </si>
  <si>
    <t xml:space="preserve">AL-4c</t>
  </si>
  <si>
    <t xml:space="preserve">PT-3</t>
  </si>
  <si>
    <t xml:space="preserve">Marvel Series Black Atlantis polished porcelain, 12×24, Arizona Tile</t>
  </si>
  <si>
    <t xml:space="preserve">AL-4d</t>
  </si>
  <si>
    <t xml:space="preserve">Laundry Room</t>
  </si>
  <si>
    <t xml:space="preserve">PT-4</t>
  </si>
  <si>
    <t xml:space="preserve">NOBLEZA ASTORGA porcelain tile, 12×12, matte, Emser</t>
  </si>
  <si>
    <t xml:space="preserve">AL-4e</t>
  </si>
  <si>
    <t xml:space="preserve">Hallway + Master Bedroom + Study</t>
  </si>
  <si>
    <t xml:space="preserve">PT-5</t>
  </si>
  <si>
    <t xml:space="preserve">CABIN YOSEMITE porcelain tile, 6×24, matte, Emser</t>
  </si>
  <si>
    <t xml:space="preserve">AL-5a</t>
  </si>
  <si>
    <t xml:space="preserve">Kitchen</t>
  </si>
  <si>
    <t xml:space="preserve">CT-1</t>
  </si>
  <si>
    <t xml:space="preserve">Rainfall C Series ceramic backsplash, 4×16 Torrent White, Tierra Sol</t>
  </si>
  <si>
    <t xml:space="preserve">Addendum #1 §01 21 00 p.5; SOR p.25</t>
  </si>
  <si>
    <t xml:space="preserve">AL-5b</t>
  </si>
  <si>
    <t xml:space="preserve">CT-2</t>
  </si>
  <si>
    <t xml:space="preserve">Subway Lab Cotton Gloss ceramic, 3×12 New Bevel; bathtub surround</t>
  </si>
  <si>
    <t xml:space="preserve">AL-5c</t>
  </si>
  <si>
    <t xml:space="preserve">NS-1</t>
  </si>
  <si>
    <t xml:space="preserve">Rockwood Limestone, 1×3 herringbone mosaic, honed, Z Collections</t>
  </si>
  <si>
    <t xml:space="preserve">Addendum #1 §01 21 00 p.6; SOR p.25</t>
  </si>
  <si>
    <t xml:space="preserve">AL-5d</t>
  </si>
  <si>
    <t xml:space="preserve">Bathrooms + Laundry</t>
  </si>
  <si>
    <t xml:space="preserve">Pental PLUVIUM 2, 12×24 Gesso; bathroom floors/walls and laundry floors</t>
  </si>
  <si>
    <t xml:space="preserve">AL-6a</t>
  </si>
  <si>
    <t xml:space="preserve">Hallway + Kitchen + Bedrooms</t>
  </si>
  <si>
    <t xml:space="preserve">EHF-2</t>
  </si>
  <si>
    <t xml:space="preserve">Engineered wood — Addendum lists Shaw 3415V Fresh Take 02124 Brentwood Tan and Mohawk Coastal Couture Beechwood Oak WEMO 3 #27; Owner to confirm</t>
  </si>
  <si>
    <t xml:space="preserve">Addendum #1 §01 21 00 p.6; SOR pp.24–25</t>
  </si>
  <si>
    <t xml:space="preserve">AL-7</t>
  </si>
  <si>
    <t xml:space="preserve">Building B</t>
  </si>
  <si>
    <t xml:space="preserve">Four ground-floor units</t>
  </si>
  <si>
    <t xml:space="preserve">CONC-1</t>
  </si>
  <si>
    <t xml:space="preserve">Concrete cutting, excavation, backfill and repair including vapor barrier, crystalline additive and concrete patching</t>
  </si>
  <si>
    <t xml:space="preserve">Concrete - Allowance</t>
  </si>
  <si>
    <t xml:space="preserve">Addendum #1 §01 21 00 p.6; Exhibit A P5.1</t>
  </si>
  <si>
    <t xml:space="preserve">Allowance includes material, receiving, handling, installation, overhead and profit. Coordinate final in-place measurement with Section 01 22 00.</t>
  </si>
  <si>
    <t xml:space="preserve">AL-8a</t>
  </si>
  <si>
    <t xml:space="preserve">QCT-1</t>
  </si>
  <si>
    <t xml:space="preserve">Pental Quartz countertop — Borghini Polished</t>
  </si>
  <si>
    <t xml:space="preserve">Finishes - Countertop</t>
  </si>
  <si>
    <t xml:space="preserve">Model-derived DWV quantities</t>
  </si>
  <si>
    <t xml:space="preserve">Three-dimensional pipe centerline lengths from the editable coordination routes. Quantities exclude fitting deductions, procurement waste and unverified field changes. Existing/retained routes are not new ABS.</t>
  </si>
  <si>
    <t xml:space="preserve">Route</t>
  </si>
  <si>
    <t xml:space="preserve">Status</t>
  </si>
  <si>
    <t xml:space="preserve">Nominal diameter (in)</t>
  </si>
  <si>
    <t xml:space="preserve">Role</t>
  </si>
  <si>
    <t xml:space="preserve">3D centerline (LF)</t>
  </si>
  <si>
    <t xml:space="preserve">Measurement note</t>
  </si>
  <si>
    <t xml:space="preserve">main_4</t>
  </si>
  <si>
    <t xml:space="preserve">New ABS</t>
  </si>
  <si>
    <t xml:space="preserve">Under-slab main</t>
  </si>
  <si>
    <t xml:space="preserve">Route controls v2 + supplied model generator</t>
  </si>
  <si>
    <t xml:space="preserve">3D centerline; field verify route, invert, fittings and connection points</t>
  </si>
  <si>
    <t xml:space="preserve">branch_3/bath_n</t>
  </si>
  <si>
    <t xml:space="preserve">bath n</t>
  </si>
  <si>
    <t xml:space="preserve">branch_3/bath_s</t>
  </si>
  <si>
    <t xml:space="preserve">bath s</t>
  </si>
  <si>
    <t xml:space="preserve">branch_3/laundry</t>
  </si>
  <si>
    <t xml:space="preserve">laundry</t>
  </si>
  <si>
    <t xml:space="preserve">branch_2/lav_n</t>
  </si>
  <si>
    <t xml:space="preserve">lav n</t>
  </si>
  <si>
    <t xml:space="preserve">branch_2/lav_s</t>
  </si>
  <si>
    <t xml:space="preserve">lav s</t>
  </si>
  <si>
    <t xml:space="preserve">lateral_6</t>
  </si>
  <si>
    <t xml:space="preserve">Replacement lateral to 18-inch limit</t>
  </si>
  <si>
    <t xml:space="preserve">prior_abs_4</t>
  </si>
  <si>
    <t xml:space="preserve">Retain existing</t>
  </si>
  <si>
    <t xml:space="preserve">Prior ABS remain — excluded from new work</t>
  </si>
  <si>
    <t xml:space="preserve">lateral_6_context</t>
  </si>
  <si>
    <t xml:space="preserve">Existing context</t>
  </si>
  <si>
    <t xml:space="preserve">Existing lateral beyond 18-inch limit — excluded</t>
  </si>
  <si>
    <t xml:space="preserve">branch_3/kitchen</t>
  </si>
  <si>
    <t xml:space="preserve">kitchen</t>
  </si>
  <si>
    <t xml:space="preserve">raised_floor_4</t>
  </si>
  <si>
    <t xml:space="preserve">B103 raised-floor kitchen route</t>
  </si>
  <si>
    <t xml:space="preserve">Coordination comparison</t>
  </si>
  <si>
    <t xml:space="preserve">Raw modeled trench plan area before overlap (SF)</t>
  </si>
  <si>
    <t xml:space="preserve">Contract concrete repair allowance (SF)</t>
  </si>
  <si>
    <t xml:space="preserve">Interpretation</t>
  </si>
  <si>
    <t xml:space="preserve">The 700 SF contract allowance controls the allowance takeoff. The 496.8 SF raw model area sums overlapping trench primitives and is not a net or payment quantity.</t>
  </si>
  <si>
    <t xml:space="preserve">Comprehensive project takeoff</t>
  </si>
  <si>
    <t xml:space="preserve">Base bid WP1–WP3, contract allowances, model-derived DWV quantities, fixtures, restoration, closeout and owner alternates. Blank pricing is intentional: this is an unpriced quantity takeoff.</t>
  </si>
  <si>
    <t xml:space="preserve">Item</t>
  </si>
  <si>
    <t xml:space="preserve">Work product</t>
  </si>
  <si>
    <t xml:space="preserve">Division</t>
  </si>
  <si>
    <t xml:space="preserve">Scope description</t>
  </si>
  <si>
    <t xml:space="preserve">Quantity basis</t>
  </si>
  <si>
    <t xml:space="preserve">Notes / verification</t>
  </si>
  <si>
    <t xml:space="preserve">T-001</t>
  </si>
  <si>
    <t xml:space="preserve">WP1</t>
  </si>
  <si>
    <t xml:space="preserve">22 — Plumbing</t>
  </si>
  <si>
    <t xml:space="preserve">DWV - New ABS</t>
  </si>
  <si>
    <t xml:space="preserve">Under-slab / lateral</t>
  </si>
  <si>
    <t xml:space="preserve">New Schedule 40 solid-core ABS, 2-inch nominal</t>
  </si>
  <si>
    <t xml:space="preserve">LF</t>
  </si>
  <si>
    <t xml:space="preserve">Model-derived</t>
  </si>
  <si>
    <t xml:space="preserve">Addendum #1 SOR pp.7–12; Exhibit A P1.01/P1.02</t>
  </si>
  <si>
    <t xml:space="preserve">3D centerline; verify routing, inverts and fittings before procurement</t>
  </si>
  <si>
    <t xml:space="preserve">T-002</t>
  </si>
  <si>
    <t xml:space="preserve">New Schedule 40 solid-core ABS, 3-inch nominal</t>
  </si>
  <si>
    <t xml:space="preserve">T-003</t>
  </si>
  <si>
    <t xml:space="preserve">New Schedule 40 solid-core ABS, 4-inch nominal</t>
  </si>
  <si>
    <t xml:space="preserve">T-004</t>
  </si>
  <si>
    <t xml:space="preserve">New Schedule 40 solid-core ABS, 6-inch nominal</t>
  </si>
  <si>
    <t xml:space="preserve">T-005</t>
  </si>
  <si>
    <t xml:space="preserve">22 / 09 / 26</t>
  </si>
  <si>
    <t xml:space="preserve">Fixtures - Base R&amp;R</t>
  </si>
  <si>
    <t xml:space="preserve">Ground-floor unit</t>
  </si>
  <si>
    <t xml:space="preserve">Kitchen sink / cabinet</t>
  </si>
  <si>
    <t xml:space="preserve">EA</t>
  </si>
  <si>
    <t xml:space="preserve">Model + document count</t>
  </si>
  <si>
    <t xml:space="preserve">Remove and reinstall existing sink and cabinet; include drain and p-trap</t>
  </si>
  <si>
    <t xml:space="preserve">T-006</t>
  </si>
  <si>
    <t xml:space="preserve">Water closets</t>
  </si>
  <si>
    <t xml:space="preserve">Remove and reinstall wall-hung WC; carrier/flange connection work as required</t>
  </si>
  <si>
    <t xml:space="preserve">T-007</t>
  </si>
  <si>
    <t xml:space="preserve">Bathtubs</t>
  </si>
  <si>
    <t xml:space="preserve">Remove and reinstall tub and enclosure as required; include drain-waste assembly and p-trap</t>
  </si>
  <si>
    <t xml:space="preserve">T-008</t>
  </si>
  <si>
    <t xml:space="preserve">Showers / enclosures</t>
  </si>
  <si>
    <t xml:space="preserve">Remove and reinstall shower/enclosure as required; include drain-waste assembly and p-trap</t>
  </si>
  <si>
    <t xml:space="preserve">T-009</t>
  </si>
  <si>
    <t xml:space="preserve">Lavatories / cabinets</t>
  </si>
  <si>
    <t xml:space="preserve">Remove and reinstall lavatory and cabinet; include p-trap and required electrical disconnection</t>
  </si>
  <si>
    <t xml:space="preserve">T-010</t>
  </si>
  <si>
    <t xml:space="preserve">Washing machines</t>
  </si>
  <si>
    <t xml:space="preserve">Disconnect, move, reinstall and verify working condition</t>
  </si>
  <si>
    <t xml:space="preserve">T-011</t>
  </si>
  <si>
    <t xml:space="preserve">Dryers</t>
  </si>
  <si>
    <t xml:space="preserve">Move, reinstall and verify working condition</t>
  </si>
  <si>
    <t xml:space="preserve">T-012</t>
  </si>
  <si>
    <t xml:space="preserve">DWV - Accessories</t>
  </si>
  <si>
    <t xml:space="preserve">Unit network</t>
  </si>
  <si>
    <t xml:space="preserve">Base-of-stack cleanouts</t>
  </si>
  <si>
    <t xml:space="preserve">Accessible cleanouts at stack bases; final count and location field verify</t>
  </si>
  <si>
    <t xml:space="preserve">T-013</t>
  </si>
  <si>
    <t xml:space="preserve">Vertical stack tie-ins</t>
  </si>
  <si>
    <t xml:space="preserve">New ABS connection to existing stack; expose sufficient vertical pipe; final count and location field verify</t>
  </si>
  <si>
    <t xml:space="preserve">T-014</t>
  </si>
  <si>
    <t xml:space="preserve">4-to-6-inch transition couplings</t>
  </si>
  <si>
    <t xml:space="preserve">Transition from unit main to replacement lateral; final count and location field verify</t>
  </si>
  <si>
    <t xml:space="preserve">T-015</t>
  </si>
  <si>
    <t xml:space="preserve">Exterior lateral cleanouts</t>
  </si>
  <si>
    <t xml:space="preserve">Coordinated exterior cleanout and pad; final count and location field verify</t>
  </si>
  <si>
    <t xml:space="preserve">T-016</t>
  </si>
  <si>
    <t xml:space="preserve">Water-test plugs</t>
  </si>
  <si>
    <t xml:space="preserve">Temporary isolation for leak testing; final count and location field verify</t>
  </si>
  <si>
    <t xml:space="preserve">T-017</t>
  </si>
  <si>
    <t xml:space="preserve">WP2</t>
  </si>
  <si>
    <t xml:space="preserve">Testing</t>
  </si>
  <si>
    <t xml:space="preserve">Finished drain system</t>
  </si>
  <si>
    <t xml:space="preserve">Leak test with water per City of Bellevue; do not air test</t>
  </si>
  <si>
    <t xml:space="preserve">TEST</t>
  </si>
  <si>
    <t xml:space="preserve">Document + model count</t>
  </si>
  <si>
    <t xml:space="preserve">Addendum #1 SOR p.28; Exhibit A testing notes</t>
  </si>
  <si>
    <t xml:space="preserve">Coordinate inspection and acceptance before concealment</t>
  </si>
  <si>
    <t xml:space="preserve">T-018</t>
  </si>
  <si>
    <t xml:space="preserve">T-019</t>
  </si>
  <si>
    <t xml:space="preserve">T-020</t>
  </si>
  <si>
    <t xml:space="preserve">T-021</t>
  </si>
  <si>
    <t xml:space="preserve">T-022</t>
  </si>
  <si>
    <t xml:space="preserve">T-023</t>
  </si>
  <si>
    <t xml:space="preserve">T-024</t>
  </si>
  <si>
    <t xml:space="preserve">T-025</t>
  </si>
  <si>
    <t xml:space="preserve">T-026</t>
  </si>
  <si>
    <t xml:space="preserve">T-027</t>
  </si>
  <si>
    <t xml:space="preserve">T-028</t>
  </si>
  <si>
    <t xml:space="preserve">T-029</t>
  </si>
  <si>
    <t xml:space="preserve">T-030</t>
  </si>
  <si>
    <t xml:space="preserve">T-031</t>
  </si>
  <si>
    <t xml:space="preserve">T-032</t>
  </si>
  <si>
    <t xml:space="preserve">T-033</t>
  </si>
  <si>
    <t xml:space="preserve">T-034</t>
  </si>
  <si>
    <t xml:space="preserve">T-035</t>
  </si>
  <si>
    <t xml:space="preserve">T-036</t>
  </si>
  <si>
    <t xml:space="preserve">T-037</t>
  </si>
  <si>
    <t xml:space="preserve">T-038</t>
  </si>
  <si>
    <t xml:space="preserve">T-039</t>
  </si>
  <si>
    <t xml:space="preserve">T-040</t>
  </si>
  <si>
    <t xml:space="preserve">T-041</t>
  </si>
  <si>
    <t xml:space="preserve">T-042</t>
  </si>
  <si>
    <t xml:space="preserve">T-043</t>
  </si>
  <si>
    <t xml:space="preserve">T-044</t>
  </si>
  <si>
    <t xml:space="preserve">T-045</t>
  </si>
  <si>
    <t xml:space="preserve">T-046</t>
  </si>
  <si>
    <t xml:space="preserve">T-047</t>
  </si>
  <si>
    <t xml:space="preserve">T-048</t>
  </si>
  <si>
    <t xml:space="preserve">T-049</t>
  </si>
  <si>
    <t xml:space="preserve">T-050</t>
  </si>
  <si>
    <t xml:space="preserve">T-051</t>
  </si>
  <si>
    <t xml:space="preserve">T-052</t>
  </si>
  <si>
    <t xml:space="preserve">T-053</t>
  </si>
  <si>
    <t xml:space="preserve">T-054</t>
  </si>
  <si>
    <t xml:space="preserve">T-055</t>
  </si>
  <si>
    <t xml:space="preserve">T-056</t>
  </si>
  <si>
    <t xml:space="preserve">T-057</t>
  </si>
  <si>
    <t xml:space="preserve">T-058</t>
  </si>
  <si>
    <t xml:space="preserve">T-059</t>
  </si>
  <si>
    <t xml:space="preserve">T-060</t>
  </si>
  <si>
    <t xml:space="preserve">T-061</t>
  </si>
  <si>
    <t xml:space="preserve">T-062</t>
  </si>
  <si>
    <t xml:space="preserve">T-063</t>
  </si>
  <si>
    <t xml:space="preserve">T-064</t>
  </si>
  <si>
    <t xml:space="preserve">T-065</t>
  </si>
  <si>
    <t xml:space="preserve">T-066</t>
  </si>
  <si>
    <t xml:space="preserve">T-067</t>
  </si>
  <si>
    <t xml:space="preserve">T-068</t>
  </si>
  <si>
    <t xml:space="preserve">T-069</t>
  </si>
  <si>
    <t xml:space="preserve">09 — Finishes</t>
  </si>
  <si>
    <t xml:space="preserve">AL-1a · PT-6 · Porcelain tile — Evolution Ivory, polished, 12×24, Surface Art</t>
  </si>
  <si>
    <t xml:space="preserve">Contract allowance</t>
  </si>
  <si>
    <t xml:space="preserve">Final measurement and adjustment per Addendum #1 §§01 21 00 / 01 22 00</t>
  </si>
  <si>
    <t xml:space="preserve">T-070</t>
  </si>
  <si>
    <t xml:space="preserve">AL-1b · PT-7 · Porcelain tile — Evolution Ivory, polished, 2×2, Surface Art</t>
  </si>
  <si>
    <t xml:space="preserve">T-071</t>
  </si>
  <si>
    <t xml:space="preserve">AL-1c · PT-8 · Porcelain tile — Bernini Bianco, polished, 12×24, MSI Surfaces</t>
  </si>
  <si>
    <t xml:space="preserve">T-072</t>
  </si>
  <si>
    <t xml:space="preserve">AL-1d · C-1 · Carpet — Knitted Tone Blue 5E938, Colorwall Soft Sand 00105, Shaw Floors</t>
  </si>
  <si>
    <t xml:space="preserve">T-073</t>
  </si>
  <si>
    <t xml:space="preserve">AL-2a · NS-3 · Marble Statuario, 12×24, honed, Daltile; tub/shower surround and bathroom floor</t>
  </si>
  <si>
    <t xml:space="preserve">T-074</t>
  </si>
  <si>
    <t xml:space="preserve">AL-2b · PT-9 · Meta Light Gray porcelain, SA06, 2×2, matte; shower floor</t>
  </si>
  <si>
    <t xml:space="preserve">T-075</t>
  </si>
  <si>
    <t xml:space="preserve">AL-2c · PT-10 · Matte White Octagon / White Dot, 6501, Daltile</t>
  </si>
  <si>
    <t xml:space="preserve">T-076</t>
  </si>
  <si>
    <t xml:space="preserve">AL-2d · PT-11 · Hudson Penny Round Cashmere Blue porcelain mosaic, FKOMPR36, Merola</t>
  </si>
  <si>
    <t xml:space="preserve">T-077</t>
  </si>
  <si>
    <t xml:space="preserve">AL-2e · PT-12 · Perpetuo Elegant Beige geometric porcelain, PT22, 12×24, Daltile</t>
  </si>
  <si>
    <t xml:space="preserve">T-078</t>
  </si>
  <si>
    <t xml:space="preserve">AL-2f · GT-1 · Oceanique Ocean Sparkle Sky Blue glass subway tile, 2×12, Anthology</t>
  </si>
  <si>
    <t xml:space="preserve">T-079</t>
  </si>
  <si>
    <t xml:space="preserve">AL-2g · NS-2 · Pental Pluvium tile; confirm final selection and match with Owner</t>
  </si>
  <si>
    <t xml:space="preserve">T-080</t>
  </si>
  <si>
    <t xml:space="preserve">AL-3a · EHF-1 · Engineered hardwood — GW304 European White Oak, Character, 9/16×7.5×75 RL</t>
  </si>
  <si>
    <t xml:space="preserve">T-081</t>
  </si>
  <si>
    <t xml:space="preserve">AL-4a · PT-1 · Shen Series White Shades porcelain, 12×24, Arizona Tile</t>
  </si>
  <si>
    <t xml:space="preserve">T-082</t>
  </si>
  <si>
    <t xml:space="preserve">AL-4b · PT-2 · Shen Series White Shades porcelain mosaic, 2×2, Arizona Tile</t>
  </si>
  <si>
    <t xml:space="preserve">T-083</t>
  </si>
  <si>
    <t xml:space="preserve">AL-4c · PT-3 · Marvel Series Black Atlantis polished porcelain, 12×24, Arizona Tile</t>
  </si>
  <si>
    <t xml:space="preserve">T-084</t>
  </si>
  <si>
    <t xml:space="preserve">AL-4d · PT-4 · NOBLEZA ASTORGA porcelain tile, 12×12, matte, Emser</t>
  </si>
  <si>
    <t xml:space="preserve">T-085</t>
  </si>
  <si>
    <t xml:space="preserve">AL-4e · PT-5 · CABIN YOSEMITE porcelain tile, 6×24, matte, Emser</t>
  </si>
  <si>
    <t xml:space="preserve">T-086</t>
  </si>
  <si>
    <t xml:space="preserve">AL-5a · CT-1 · Rainfall C Series ceramic backsplash, 4×16 Torrent White, Tierra Sol</t>
  </si>
  <si>
    <t xml:space="preserve">T-087</t>
  </si>
  <si>
    <t xml:space="preserve">AL-5b · CT-2 · Subway Lab Cotton Gloss ceramic, 3×12 New Bevel; bathtub surround</t>
  </si>
  <si>
    <t xml:space="preserve">T-088</t>
  </si>
  <si>
    <t xml:space="preserve">AL-5c · NS-1 · Rockwood Limestone, 1×3 herringbone mosaic, honed, Z Collections</t>
  </si>
  <si>
    <t xml:space="preserve">T-089</t>
  </si>
  <si>
    <t xml:space="preserve">AL-5d · NS-2 · Pental PLUVIUM 2, 12×24 Gesso; bathroom floors/walls and laundry floors</t>
  </si>
  <si>
    <t xml:space="preserve">T-090</t>
  </si>
  <si>
    <t xml:space="preserve">AL-6a · EHF-2 · Engineered wood — Addendum lists Shaw 3415V Fresh Take 02124 Brentwood Tan and Mohawk Coastal Couture Beechwood Oak WEMO 3 #27; Owner to confirm</t>
  </si>
  <si>
    <t xml:space="preserve">T-091</t>
  </si>
  <si>
    <t xml:space="preserve">03 / 07 / 09</t>
  </si>
  <si>
    <t xml:space="preserve">AL-7 · CONC-1 · Concrete cutting, excavation, backfill and repair including vapor barrier, crystalline additive and concrete patching</t>
  </si>
  <si>
    <t xml:space="preserve">T-092</t>
  </si>
  <si>
    <t xml:space="preserve">AL-8a · QCT-1 · Pental Quartz countertop — Borghini Polished</t>
  </si>
  <si>
    <t xml:space="preserve">T-093</t>
  </si>
  <si>
    <t xml:space="preserve">07 — Moisture protection</t>
  </si>
  <si>
    <t xml:space="preserve">Concrete - Vapor barrier</t>
  </si>
  <si>
    <t xml:space="preserve">Concrete repair areas</t>
  </si>
  <si>
    <t xml:space="preserve">Stegowrap 15-mil Class A vapor barrier; net area equal to concrete allowance</t>
  </si>
  <si>
    <t xml:space="preserve">Derived from allowance</t>
  </si>
  <si>
    <t xml:space="preserve">Addendum #1 SOR p.9; §01 21 00 AL-7</t>
  </si>
  <si>
    <t xml:space="preserve">Laps, seams, accessories and waste additional; preserve and transition to existing</t>
  </si>
  <si>
    <t xml:space="preserve">T-094</t>
  </si>
  <si>
    <t xml:space="preserve">03 — Concrete</t>
  </si>
  <si>
    <t xml:space="preserve">Concrete - Derived volume</t>
  </si>
  <si>
    <t xml:space="preserve">5.5-inch slab repair</t>
  </si>
  <si>
    <t xml:space="preserve">Planning concrete volume at assumed 5.5-inch slab thickness</t>
  </si>
  <si>
    <t xml:space="preserve">CY</t>
  </si>
  <si>
    <t xml:space="preserve">Derived calculation</t>
  </si>
  <si>
    <t xml:space="preserve">Exhibit A P5.1; Addendum #1 AL-7</t>
  </si>
  <si>
    <t xml:space="preserve">3000 psi Class C concrete with permeability-reducing admixture; planning volume only, not a separate pay quantity</t>
  </si>
  <si>
    <t xml:space="preserve">T-095</t>
  </si>
  <si>
    <t xml:space="preserve">01 — General</t>
  </si>
  <si>
    <t xml:space="preserve">General</t>
  </si>
  <si>
    <t xml:space="preserve">Project-wide</t>
  </si>
  <si>
    <t xml:space="preserve">Mobilization, supervision, labor, materials, tools, equipment, permits, taxes, bond, overhead, profit and warranty</t>
  </si>
  <si>
    <t xml:space="preserve">LS</t>
  </si>
  <si>
    <t xml:space="preserve">Document scope</t>
  </si>
  <si>
    <t xml:space="preserve">Addendum #1 Bid Form §1.3</t>
  </si>
  <si>
    <t xml:space="preserve">Base bid requirement; unpriced takeoff</t>
  </si>
  <si>
    <t xml:space="preserve">T-096</t>
  </si>
  <si>
    <t xml:space="preserve">Occupied units</t>
  </si>
  <si>
    <t xml:space="preserve">Phase work so units can remain occupied; coordinate resident access and interruptions</t>
  </si>
  <si>
    <t xml:space="preserve">UNIT</t>
  </si>
  <si>
    <t xml:space="preserve">Document-defined count</t>
  </si>
  <si>
    <t xml:space="preserve">Addendum #1 SOR pp.10, 29–32</t>
  </si>
  <si>
    <t xml:space="preserve">Daily water/sewer restoration by 5:00 PM with at least one sink and one toilet operational</t>
  </si>
  <si>
    <t xml:space="preserve">T-097</t>
  </si>
  <si>
    <t xml:space="preserve">General - Staging</t>
  </si>
  <si>
    <t xml:space="preserve">Owner-designated area</t>
  </si>
  <si>
    <t xml:space="preserve">Approximate staging / storage area made available by Association</t>
  </si>
  <si>
    <t xml:space="preserve">Document-stated</t>
  </si>
  <si>
    <t xml:space="preserve">Addendum #1 SOR p.30</t>
  </si>
  <si>
    <t xml:space="preserve">Contractor provides secured temporary fencing and weather protection</t>
  </si>
  <si>
    <t xml:space="preserve">T-098</t>
  </si>
  <si>
    <t xml:space="preserve">Site</t>
  </si>
  <si>
    <t xml:space="preserve">Preconstruction room-content and existing-condition photographic record</t>
  </si>
  <si>
    <t xml:space="preserve">Addendum #1 SOR p.29</t>
  </si>
  <si>
    <t xml:space="preserve">Include in closeout documentation</t>
  </si>
  <si>
    <t xml:space="preserve">T-099</t>
  </si>
  <si>
    <t xml:space="preserve">Weekly construction meetings, special temporary-condition procedures and 48-hour shutoff notices</t>
  </si>
  <si>
    <t xml:space="preserve">Addendum #1 SOR pp.30–31</t>
  </si>
  <si>
    <t xml:space="preserve">Weekends do not count toward resident notice</t>
  </si>
  <si>
    <t xml:space="preserve">T-100</t>
  </si>
  <si>
    <t xml:space="preserve">Representative conditions</t>
  </si>
  <si>
    <t xml:space="preserve">Typical wall, flooring and cabinetry repair mockups; 24×24-inch substitute-finish mockup where required</t>
  </si>
  <si>
    <t xml:space="preserve">Addendum #1 SOR pp.10, 27</t>
  </si>
  <si>
    <t xml:space="preserve">Owner / Architect / Board approval before proceeding</t>
  </si>
  <si>
    <t xml:space="preserve">T-101</t>
  </si>
  <si>
    <t xml:space="preserve">02 — Demolition</t>
  </si>
  <si>
    <t xml:space="preserve">Demolition</t>
  </si>
  <si>
    <t xml:space="preserve">Units and walls</t>
  </si>
  <si>
    <t xml:space="preserve">Remove existing cast-iron DW pipe, fittings and components; abandonment only with Engineer approval and void fill</t>
  </si>
  <si>
    <t xml:space="preserve">Addendum #1 SOR pp.7–9</t>
  </si>
  <si>
    <t xml:space="preserve">Actual demolition extent follows field exposure; new-pipe lengths are not demolition pay quantities</t>
  </si>
  <si>
    <t xml:space="preserve">T-102</t>
  </si>
  <si>
    <t xml:space="preserve">Structural coordination</t>
  </si>
  <si>
    <t xml:space="preserve">Structural concrete</t>
  </si>
  <si>
    <t xml:space="preserve">Notify Designer before structural concrete cutting and follow issued demolition / repair protocol</t>
  </si>
  <si>
    <t xml:space="preserve">Addendum #1 SOR p.12; Exhibit B</t>
  </si>
  <si>
    <t xml:space="preserve">No structural panel quantities inferred</t>
  </si>
  <si>
    <t xml:space="preserve">T-103</t>
  </si>
  <si>
    <t xml:space="preserve">Moisture protection</t>
  </si>
  <si>
    <t xml:space="preserve">Floor-finish areas</t>
  </si>
  <si>
    <t xml:space="preserve">Vapor-mitigating epoxy primer rated for 100% RH and MVER up to 25 lb; ASTM F1869 testing</t>
  </si>
  <si>
    <t xml:space="preserve">Addendum #1 SOR p.19</t>
  </si>
  <si>
    <t xml:space="preserve">Apply at affected slab-on-grade finish areas; included with applicable finish systems</t>
  </si>
  <si>
    <t xml:space="preserve">T-104</t>
  </si>
  <si>
    <t xml:space="preserve">07 / 09</t>
  </si>
  <si>
    <t xml:space="preserve">Waterproofing</t>
  </si>
  <si>
    <t xml:space="preserve">Bathrooms / showers</t>
  </si>
  <si>
    <t xml:space="preserve">Compatible waterproofing and crack-isolation system with qualifying 25-year manufacturer system warranty</t>
  </si>
  <si>
    <t xml:space="preserve">Addendum #1 SOR pp.22, 27; §01 22 00</t>
  </si>
  <si>
    <t xml:space="preserve">Contact Designer where compatibility or adhesion issues occur</t>
  </si>
  <si>
    <t xml:space="preserve">T-105</t>
  </si>
  <si>
    <t xml:space="preserve">Basic finishes</t>
  </si>
  <si>
    <t xml:space="preserve">Disturbed walls / ceilings</t>
  </si>
  <si>
    <t xml:space="preserve">Gypsum board patching to match layers, thickness, moisture, acoustic and fire performance; Level 5 paint / Level 4 wallpaper finish</t>
  </si>
  <si>
    <t xml:space="preserve">Addendum #1 SOR pp.16–19, 29</t>
  </si>
  <si>
    <t xml:space="preserve">Verify existing assembly; ASTM C840-23</t>
  </si>
  <si>
    <t xml:space="preserve">T-106</t>
  </si>
  <si>
    <t xml:space="preserve">Affected rooms</t>
  </si>
  <si>
    <t xml:space="preserve">Paint entire wall plane floor-to-ceiling and corner-to-corner; match color, sheen, texture, trim and wall base</t>
  </si>
  <si>
    <t xml:space="preserve">Addendum #1 SOR pp.19, 31</t>
  </si>
  <si>
    <t xml:space="preserve">Do not paint prefinished electrical devices or panels</t>
  </si>
  <si>
    <t xml:space="preserve">T-107</t>
  </si>
  <si>
    <t xml:space="preserve">Acoustics / fire</t>
  </si>
  <si>
    <t xml:space="preserve">Demising and rated assemblies</t>
  </si>
  <si>
    <t xml:space="preserve">Reinstall insulation; meet IBC 2021 §1206 minimum STC 50 where applicable; UL-listed firestop at rated penetrations</t>
  </si>
  <si>
    <t xml:space="preserve">Addendum #1 SOR pp.16–18, 29, 31–32</t>
  </si>
  <si>
    <t xml:space="preserve">Submit assembly and penetration systems; photograph each closure</t>
  </si>
  <si>
    <t xml:space="preserve">T-108</t>
  </si>
  <si>
    <t xml:space="preserve">Custom finishes</t>
  </si>
  <si>
    <t xml:space="preserve">Radiant-floor areas</t>
  </si>
  <si>
    <t xml:space="preserve">Replace removed 220 V heated-coil radiant flooring like-in-kind where it cannot be reused</t>
  </si>
  <si>
    <t xml:space="preserve">Conditional document scope</t>
  </si>
  <si>
    <t xml:space="preserve">Addendum #1 SOR p.19; §01 22 00</t>
  </si>
  <si>
    <t xml:space="preserve">Field verify extent; included with related allowance where stated</t>
  </si>
  <si>
    <t xml:space="preserve">T-109</t>
  </si>
  <si>
    <t xml:space="preserve">Cabinetry / counters</t>
  </si>
  <si>
    <t xml:space="preserve">Remove for reuse and reinstall cabinets/countertops; replace damage and complete affected sink work as directed</t>
  </si>
  <si>
    <t xml:space="preserve">Addendum #1 SOR pp.8, 27</t>
  </si>
  <si>
    <t xml:space="preserve">QCT-1 allowance quantified separately; other cabinet work unquantified</t>
  </si>
  <si>
    <t xml:space="preserve">T-110</t>
  </si>
  <si>
    <t xml:space="preserve">DWV - Vertical exposure</t>
  </si>
  <si>
    <t xml:space="preserve">Stack chases</t>
  </si>
  <si>
    <t xml:space="preserve">Expose and remove sufficient vertical stack piping for compliant horizontal connections</t>
  </si>
  <si>
    <t xml:space="preserve">LOCATION</t>
  </si>
  <si>
    <t xml:space="preserve">Addendum #1 SOR pp.9–11; coordination model</t>
  </si>
  <si>
    <t xml:space="preserve">Minimum 10 pipe diameters upstream / above slab as applicable; field verify</t>
  </si>
  <si>
    <t xml:space="preserve">T-111</t>
  </si>
  <si>
    <t xml:space="preserve">DWV - Fixture traps</t>
  </si>
  <si>
    <t xml:space="preserve">Kitchen, lavatory, tub and shower</t>
  </si>
  <si>
    <t xml:space="preserve">New p-traps at modeled fixture groups</t>
  </si>
  <si>
    <t xml:space="preserve">Addendum #1 SOR pp.7–8; fixture points</t>
  </si>
  <si>
    <t xml:space="preserve">4 kitchen + 8 lavatory + 8 tub/shower; laundry and floor-drain traps field verify</t>
  </si>
  <si>
    <t xml:space="preserve">T-112</t>
  </si>
  <si>
    <t xml:space="preserve">General plumbing</t>
  </si>
  <si>
    <t xml:space="preserve">Floor drains if encountered</t>
  </si>
  <si>
    <t xml:space="preserve">Trap primers for new or replaced floor drains</t>
  </si>
  <si>
    <t xml:space="preserve">Addendum #1 SOR p.9</t>
  </si>
  <si>
    <t xml:space="preserve">No floor-drain count inferred</t>
  </si>
  <si>
    <t xml:space="preserve">T-113</t>
  </si>
  <si>
    <t xml:space="preserve">All new piping</t>
  </si>
  <si>
    <t xml:space="preserve">Supports, restraints, approved fittings, adapters, solvents, adhesives and code-compliant cleanouts</t>
  </si>
  <si>
    <t xml:space="preserve">Exhibit A general notes; Addendum #1 SOR pp.9–11</t>
  </si>
  <si>
    <t xml:space="preserve">Detailed material listing required by submittals</t>
  </si>
  <si>
    <t xml:space="preserve">T-114</t>
  </si>
  <si>
    <t xml:space="preserve">26 — Electrical</t>
  </si>
  <si>
    <t xml:space="preserve">Electrical coordination</t>
  </si>
  <si>
    <t xml:space="preserve">Cabinet / access areas</t>
  </si>
  <si>
    <t xml:space="preserve">Disconnect and reconnect light fixtures or outlets required to move cabinets; coordinate shutoffs</t>
  </si>
  <si>
    <t xml:space="preserve">Addendum #1 SOR pp.8, 10</t>
  </si>
  <si>
    <t xml:space="preserve">Coordinate 220 V radiant-floor work where encountered</t>
  </si>
  <si>
    <t xml:space="preserve">T-115</t>
  </si>
  <si>
    <t xml:space="preserve">WP3</t>
  </si>
  <si>
    <t xml:space="preserve">01 — Closeout</t>
  </si>
  <si>
    <t xml:space="preserve">Closeout</t>
  </si>
  <si>
    <t xml:space="preserve">Association</t>
  </si>
  <si>
    <t xml:space="preserve">Project binder</t>
  </si>
  <si>
    <t xml:space="preserve">Hard-copy as-built / documentation sets including 24×36-inch dimensioned drawings</t>
  </si>
  <si>
    <t xml:space="preserve">SET</t>
  </si>
  <si>
    <t xml:space="preserve">Addendum #1 SOR pp.28–29</t>
  </si>
  <si>
    <t xml:space="preserve">Pipe location accurate to ±2 inches; include fitting type, size and location</t>
  </si>
  <si>
    <t xml:space="preserve">T-116</t>
  </si>
  <si>
    <t xml:space="preserve">Association + Engineer</t>
  </si>
  <si>
    <t xml:space="preserve">Digital record</t>
  </si>
  <si>
    <t xml:space="preserve">USB digital documentation sets: two to Association and one to Engineer</t>
  </si>
  <si>
    <t xml:space="preserve">Include PDF/JPG records and specified native/PDF drawing formats</t>
  </si>
  <si>
    <t xml:space="preserve">T-117</t>
  </si>
  <si>
    <t xml:space="preserve">All units</t>
  </si>
  <si>
    <t xml:space="preserve">Pre-backfill piping, stack tie-in, slab demolition, structural interface, slab replacement and waterproofing photographs</t>
  </si>
  <si>
    <t xml:space="preserve">Include permits, inspections, tests, correspondence, materials and maintenance narrative</t>
  </si>
  <si>
    <t xml:space="preserve">T-118</t>
  </si>
  <si>
    <t xml:space="preserve">Each unit</t>
  </si>
  <si>
    <t xml:space="preserve">Unit-owner completion sign-offs and scanned punch-list / sign-off documents</t>
  </si>
  <si>
    <t xml:space="preserve">Scans within 7 days; tenant sign-off only with written owner authorization</t>
  </si>
  <si>
    <t xml:space="preserve">T-119</t>
  </si>
  <si>
    <t xml:space="preserve">Alternate 1</t>
  </si>
  <si>
    <t xml:space="preserve">Alternate - Fixtures</t>
  </si>
  <si>
    <t xml:space="preserve">Ground-floor bathrooms</t>
  </si>
  <si>
    <t xml:space="preserve">Replace existing wall-hung water closets with new floor-mounted water closets</t>
  </si>
  <si>
    <t xml:space="preserve">Owner alternate</t>
  </si>
  <si>
    <t xml:space="preserve">Project Manual §01 23 00; Addendum #1 Bid Form</t>
  </si>
  <si>
    <t xml:space="preserve">Only if accepted; include accessories and adjacent coordination</t>
  </si>
  <si>
    <t xml:space="preserve">T-120</t>
  </si>
  <si>
    <t xml:space="preserve">Alternate 2</t>
  </si>
  <si>
    <t xml:space="preserve">22 / 09</t>
  </si>
  <si>
    <t xml:space="preserve">Ground-floor bathroom</t>
  </si>
  <si>
    <t xml:space="preserve">Replace existing bathtub with new like-in-kind bathtub</t>
  </si>
  <si>
    <t xml:space="preserve">Only if accepted; match size, shape, finish and color</t>
  </si>
  <si>
    <t xml:space="preserve">T-121</t>
  </si>
  <si>
    <t xml:space="preserve">T-122</t>
  </si>
  <si>
    <t xml:space="preserve">T-123</t>
  </si>
  <si>
    <t xml:space="preserve">T-124</t>
  </si>
  <si>
    <t xml:space="preserve">T-125</t>
  </si>
  <si>
    <t xml:space="preserve">T-126</t>
  </si>
  <si>
    <t xml:space="preserve">Scope inclusion &amp; verification register</t>
  </si>
  <si>
    <t xml:space="preserve">Companion to the Master Takeoff: requirements that must be carried within the work even where a lump-sum line is used. It is not an exclusion list.</t>
  </si>
  <si>
    <t xml:space="preserve">Scope / requirement</t>
  </si>
  <si>
    <t xml:space="preserve">Measurement approach</t>
  </si>
  <si>
    <t xml:space="preserve">Required verification / inclusion</t>
  </si>
  <si>
    <t xml:space="preserve">Replace the complete DW system from 18 inches outside the foundation through ground-floor slab penetrations to fixtures and existing upper-floor stacks.</t>
  </si>
  <si>
    <t xml:space="preserve">LF / EA by modeled routes and fixture groups</t>
  </si>
  <si>
    <t xml:space="preserve">Addendum #1 SOR pp.7–8</t>
  </si>
  <si>
    <t xml:space="preserve">Like-in-kind route and sizes; notify Engineer of discrepancies; retain B101 prior kitchen/dining ABS unless otherwise directed.</t>
  </si>
  <si>
    <t xml:space="preserve">Vertical stack exposure and approved wye, combination wye / 1⁄8 bend or sanitary tee connections.</t>
  </si>
  <si>
    <t xml:space="preserve">Locations + LS fittings</t>
  </si>
  <si>
    <t xml:space="preserve">Addendum #1 SOR pp.9–11</t>
  </si>
  <si>
    <t xml:space="preserve">Support above and below cuts; no notch repairs; sufficient straight length for couplings; code-compliant alignment.</t>
  </si>
  <si>
    <t xml:space="preserve">Side-sewer connections outside the building, preferably at planter areas avoiding concrete removal.</t>
  </si>
  <si>
    <t xml:space="preserve">4 unit connections / field verify</t>
  </si>
  <si>
    <t xml:space="preserve">Addendum #1 SOR p.11</t>
  </si>
  <si>
    <t xml:space="preserve">Existing 6-inch lateral beyond the 18-inch replacement limit and 8-inch side sewer are context / remain, not new replacement.</t>
  </si>
  <si>
    <t xml:space="preserve">03 / 31</t>
  </si>
  <si>
    <t xml:space="preserve">Concrete cutting, excavation, bedding, backfill, slab repair and sealer for high-water-table conditions.</t>
  </si>
  <si>
    <t xml:space="preserve">700 SF contract allowance</t>
  </si>
  <si>
    <t xml:space="preserve">Addendum #1 AL-7; SOR p.9; §03 30 00</t>
  </si>
  <si>
    <t xml:space="preserve">Coordinate vapor barrier, crystalline permeability-reducing admixture and inspections; actual excavation volume field measure.</t>
  </si>
  <si>
    <t xml:space="preserve">Identify and preserve existing vapor barrier / waterproofing during demolition.</t>
  </si>
  <si>
    <t xml:space="preserve">700 SF net repair + laps/accessories</t>
  </si>
  <si>
    <t xml:space="preserve">Notify Architect / Engineer when exposed; install Stegowrap system per manufacturer.</t>
  </si>
  <si>
    <t xml:space="preserve">Document existing finishes and submit like-for-like or approved comparable replacements.</t>
  </si>
  <si>
    <t xml:space="preserve">Contract allowance + field measure</t>
  </si>
  <si>
    <t xml:space="preserve">Addendum #1 SOR pp.11, 20–27</t>
  </si>
  <si>
    <t xml:space="preserve">Owner approval; whole wall / room refinishing may be required for seamless match.</t>
  </si>
  <si>
    <t xml:space="preserve">Tile and stone assemblies, including removal of adhesive, mortar bed and membranes where required.</t>
  </si>
  <si>
    <t xml:space="preserve">SF in-place</t>
  </si>
  <si>
    <t xml:space="preserve">Addendum #1 §§01 21 00 / 01 22 00</t>
  </si>
  <si>
    <t xml:space="preserve">TCNA-appropriate assembly; vapor primer at slab-on-grade; waterproofing/crack isolation; 25-year system warranty.</t>
  </si>
  <si>
    <t xml:space="preserve">Engineered hardwood replacement including adhesive, underlayment and accessories removal.</t>
  </si>
  <si>
    <t xml:space="preserve">Vapor-mitigating primer and NWFA / manufacturer installation requirements.</t>
  </si>
  <si>
    <t xml:space="preserve">09 / 26</t>
  </si>
  <si>
    <t xml:space="preserve">Radiant heated-coil flooring removal and replacement where occurs.</t>
  </si>
  <si>
    <t xml:space="preserve">LS / field measure</t>
  </si>
  <si>
    <t xml:space="preserve">220 V system like-in-kind where reuse is not possible; coordinate electrical work.</t>
  </si>
  <si>
    <t xml:space="preserve">Water leak test of each finished drain system to City of Bellevue standards.</t>
  </si>
  <si>
    <t xml:space="preserve">4 tests</t>
  </si>
  <si>
    <t xml:space="preserve">Addendum #1 SOR p.28</t>
  </si>
  <si>
    <t xml:space="preserve">Do not air test; provide required inspection and test documentation.</t>
  </si>
  <si>
    <t xml:space="preserve">Dimensioned as-built drawings, photographs, permits, inspections, tests, correspondence, material lists and maintenance narrative.</t>
  </si>
  <si>
    <t xml:space="preserve">2 hard-copy sets + 3 USB sets</t>
  </si>
  <si>
    <t xml:space="preserve">Professional readable drawings; ±2-inch location accuracy; electronic and project-binder formats.</t>
  </si>
  <si>
    <t xml:space="preserve">Submittals for DW materials/fittings/adhesives, waterproofing, laundry modifications, firestop and wall assemblies.</t>
  </si>
  <si>
    <t xml:space="preserve">Addendum #1 SOR pp.31–33</t>
  </si>
  <si>
    <t xml:space="preserve">Include wall layers, thickness, materials, board type, insulation, sealant, reference number and sketch / shop drawing.</t>
  </si>
  <si>
    <t xml:space="preserve">Training and maintenance schedule for new components.</t>
  </si>
  <si>
    <t xml:space="preserve">Addendum #1 SOR p.31</t>
  </si>
  <si>
    <t xml:space="preserve">Until delivered, maintenance of new components remains Contractor responsibility.</t>
  </si>
  <si>
    <t xml:space="preserve">Debris removal and daily restoration of water / sewer service.</t>
  </si>
  <si>
    <t xml:space="preserve">4 occupied units</t>
  </si>
  <si>
    <t xml:space="preserve">Exhibit A notes; Addendum #1 SOR p.31</t>
  </si>
  <si>
    <t xml:space="preserve">At least one sink and one toilet available per unit by 5:00 PM each day.</t>
  </si>
  <si>
    <t xml:space="preserve">Floor-mounted toilets replacing wall-hung units.</t>
  </si>
  <si>
    <t xml:space="preserve">8 EA</t>
  </si>
  <si>
    <t xml:space="preserve">Project Manual §01 23 00</t>
  </si>
  <si>
    <t xml:space="preserve">Owner acceptance required; include incidental devices, accessories and adjacent work.</t>
  </si>
  <si>
    <t xml:space="preserve">Like-in-kind bathtub replacement.</t>
  </si>
  <si>
    <t xml:space="preserve">4 EA</t>
  </si>
  <si>
    <t xml:space="preserve">Owner acceptance required; match existing size, shape, finish and color.</t>
  </si>
  <si>
    <t xml:space="preserve">Sources, measurement rules &amp; exclusions</t>
  </si>
  <si>
    <t xml:space="preserve">Read before using quantities for procurement, pricing or payment. Contract documents control over the coordination model.</t>
  </si>
  <si>
    <t xml:space="preserve">Topic</t>
  </si>
  <si>
    <t xml:space="preserve">Rule / source / assumption</t>
  </si>
  <si>
    <t xml:space="preserve">Contract precedence</t>
  </si>
  <si>
    <t xml:space="preserve">Addendum #1 dated 2026-10-16 is treated as superseding earlier bid-form, allowance, unit-price and Scope of Repair information. Project ID 25-048.</t>
  </si>
  <si>
    <t xml:space="preserve">Primary sources</t>
  </si>
  <si>
    <t xml:space="preserve">25-048 Addendum 1 (00 41 13, 00 91 13, 01 21 00, 01 22 00 and revised SOR); Project Manual Bid Set 2026-09-28 (01 23 00 and 03 30 00); Exhibit A Waste Re-Pipe Bid Set; Exhibit B precast record drawings.</t>
  </si>
  <si>
    <t xml:space="preserve">Model sources</t>
  </si>
  <si>
    <t xml:space="preserve">meydenbauer_route_controls_v2.csv and meydenbauer_4d_3pass_v2.py. One model unit equals one foot. Lengths are calculated along connected 3D centerlines, including representative 1/4-inch-per-foot slope.</t>
  </si>
  <si>
    <t xml:space="preserve">New ABS measurement</t>
  </si>
  <si>
    <t xml:space="preserve">311.65 LF is the unrounded model total of new 2-, 3-, 4- and 6-inch ABS. It excludes retained prior ABS and existing lateral context. Fitting deductions, vertical removal beyond modeled connections, procurement waste and unforeseeable field changes are not included.</t>
  </si>
  <si>
    <t xml:space="preserve">Existing / retained</t>
  </si>
  <si>
    <t xml:space="preserve">B101 prior 4-inch ABS: 2.23 LF. B104 prior 4-inch ABS: 3.90 LF. Existing 6-inch lateral context beyond the 18-inch replacement limit: approximately 18.50 LF per unit. These are excluded from new ABS.</t>
  </si>
  <si>
    <t xml:space="preserve">Fixture counts</t>
  </si>
  <si>
    <t xml:space="preserve">Each unit is represented with 2 WCs, 2 lavatories, 1 bathtub, 1 shower, 1 kitchen sink, 1 washer and 1 dryer. Project totals: 8 WCs, 8 lavatories, 4 tubs, 4 showers, 4 kitchen sinks, 4 washers and 4 dryers. Verify actual fixture configurations and carrier conditions.</t>
  </si>
  <si>
    <t xml:space="preserve">Concrete allowance</t>
  </si>
  <si>
    <t xml:space="preserve">700 SF is the contract quantity allowance for concrete cutting, excavation, backfill and repair. The 5.5-inch planning volume of 11.88 CY is derived, not an independent pay quantity. Actual excavation volume, reinforcement, dowels and structural repair require field verification / Engineer protocol.</t>
  </si>
  <si>
    <t xml:space="preserve">Model trench area</t>
  </si>
  <si>
    <t xml:space="preserve">496.83 SF is a raw sum of overlapping trench plan primitives. It is not a net area and does not replace the 700 SF allowance or final in-place measurement.</t>
  </si>
  <si>
    <t xml:space="preserve">Finish allowances</t>
  </si>
  <si>
    <t xml:space="preserve">Tile/stone 2,232 SF; carpet 60 SF; engineered wood 1,784 SF; quartz countertop 82 SF. Floor and wall areas are mixed within tile/stone totals as scheduled; do not assume every square foot is flooring.</t>
  </si>
  <si>
    <t xml:space="preserve">Finish selection conflict</t>
  </si>
  <si>
    <t xml:space="preserve">AL-6a / EHF-2 contains two product descriptions in Addendum #1. Both are preserved in the workbook; Owner / Architect must confirm the intended selection before ordering.</t>
  </si>
  <si>
    <t xml:space="preserve">Pricing</t>
  </si>
  <si>
    <t xml:space="preserve">This is an unpriced quantity takeoff. Labor rates, material unit rates, sales tax, escalation, overhead, profit and bid totals are not estimated. Allowance inclusions and unit-price procedures are identified in the scope notes.</t>
  </si>
  <si>
    <t xml:space="preserve">Measurement and payment</t>
  </si>
  <si>
    <t xml:space="preserve">Final allowance adjustment follows actual accepted work-in-place and Addendum #1 §§01 21 00 / 01 22 00. Reasonable cutting losses and waste are addressed through that process, not added to contract quantities here.</t>
  </si>
  <si>
    <t xml:space="preserve">Explicit exclusions</t>
  </si>
  <si>
    <t xml:space="preserve">No replacement of the 8-inch side sewer, no work in Buildings A or C, no disturbance to upper-floor units except shared-stack connections, and no water-heater replacement quantity is included.</t>
  </si>
  <si>
    <t xml:space="preserve">Field verification</t>
  </si>
  <si>
    <t xml:space="preserve">Actual routing, invert elevations, fitting counts, stack locations, cleanouts, utility conflicts, wall assemblies, fire ratings, finish boundaries and connection points must be verified before construction. This workbook is not a surveyed as-built or fabrication bill of materials.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</si>
</sst>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.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5"/>
      <color rgb="FF2B1703"/>
      <name val="Aptos Display"/>
      <family val="0"/>
      <charset val="1"/>
    </font>
    <font>
      <sz val="11"/>
      <color rgb="FF66615A"/>
      <name val="Aptos"/>
      <family val="0"/>
      <charset val="1"/>
    </font>
    <font>
      <b val="true"/>
      <sz val="13"/>
      <color rgb="FF2B1703"/>
      <name val="Cambria"/>
      <family val="0"/>
      <charset val="1"/>
    </font>
    <font>
      <b val="true"/>
      <sz val="10"/>
      <color rgb="FF66615A"/>
      <name val="Cambria"/>
      <family val="0"/>
      <charset val="1"/>
    </font>
    <font>
      <b val="true"/>
      <sz val="23"/>
      <color rgb="FF2B1703"/>
      <name val="Aptos Display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2B1703"/>
      <name val="Aptos"/>
      <family val="0"/>
      <charset val="1"/>
    </font>
    <font>
      <b val="true"/>
      <sz val="11"/>
      <color rgb="FF2B1703"/>
      <name val="Cambria"/>
      <family val="0"/>
      <charset val="1"/>
    </font>
    <font>
      <sz val="11"/>
      <color rgb="FF66615A"/>
      <name val="Cambria"/>
      <family val="0"/>
      <charset val="1"/>
    </font>
    <font>
      <b val="true"/>
      <sz val="22"/>
      <color rgb="FF2B1703"/>
      <name val="Aptos Display"/>
      <family val="0"/>
      <charset val="1"/>
    </font>
    <font>
      <sz val="10"/>
      <color rgb="FF66615A"/>
      <name val="Aptos"/>
      <family val="0"/>
      <charset val="1"/>
    </font>
    <font>
      <b val="true"/>
      <sz val="10"/>
      <color rgb="FFFFFFFF"/>
      <name val="Apto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DDF5F6"/>
        <bgColor rgb="FFE3EFE8"/>
      </patternFill>
    </fill>
    <fill>
      <patternFill patternType="solid">
        <fgColor rgb="FFEEEEEC"/>
        <bgColor rgb="FFE3EFE8"/>
      </patternFill>
    </fill>
    <fill>
      <patternFill patternType="solid">
        <fgColor rgb="FF2B1703"/>
        <bgColor rgb="FF333333"/>
      </patternFill>
    </fill>
    <fill>
      <patternFill patternType="solid">
        <fgColor rgb="FFFFF3C4"/>
        <bgColor rgb="FFEEEEEC"/>
      </patternFill>
    </fill>
    <fill>
      <patternFill patternType="solid">
        <fgColor rgb="FFFAFAF8"/>
        <bgColor rgb="FFFFFFFF"/>
      </patternFill>
    </fill>
    <fill>
      <patternFill patternType="solid">
        <fgColor rgb="FFE3EFE8"/>
        <bgColor rgb="FFEEEEE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7D1"/>
      </bottom>
      <diagonal/>
    </border>
    <border diagonalUp="false" diagonalDown="false">
      <left style="thick">
        <color rgb="FFF7C400"/>
      </left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B1703"/>
        </patternFill>
      </fill>
    </dxf>
    <dxf>
      <fill>
        <patternFill patternType="solid">
          <fgColor rgb="FFFAFAF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DDF5F6"/>
        </patternFill>
      </fill>
    </dxf>
    <dxf>
      <fill>
        <patternFill patternType="solid">
          <fgColor rgb="FFE3EFE8"/>
        </patternFill>
      </fill>
    </dxf>
    <dxf>
      <fill>
        <patternFill patternType="solid">
          <fgColor rgb="FFFFF3C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DDF5F6"/>
      <rgbColor rgb="FF660066"/>
      <rgbColor rgb="FFFF8080"/>
      <rgbColor rgb="FF0066CC"/>
      <rgbColor rgb="FFD9D7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EFE8"/>
      <rgbColor rgb="FFEEEEEC"/>
      <rgbColor rgb="FFFAFAF8"/>
      <rgbColor rgb="FF99CCFF"/>
      <rgbColor rgb="FFFF99CC"/>
      <rgbColor rgb="FFCC99FF"/>
      <rgbColor rgb="FFFFCC99"/>
      <rgbColor rgb="FF3366FF"/>
      <rgbColor rgb="FF33CCCC"/>
      <rgbColor rgb="FF99CC00"/>
      <rgbColor rgb="FFF7C400"/>
      <rgbColor rgb="FFFF9900"/>
      <rgbColor rgb="FFFF6600"/>
      <rgbColor rgb="FF66615A"/>
      <rgbColor rgb="FF969696"/>
      <rgbColor rgb="FF003366"/>
      <rgbColor rgb="FF339966"/>
      <rgbColor rgb="FF003300"/>
      <rgbColor rgb="FF2B170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WVModelTable" displayName="DWVModelTable" ref="B5:I41" headerRowCount="1" totalsRowCount="0" totalsRowShown="0">
  <autoFilter ref="B5:I41"/>
  <tableColumns count="8">
    <tableColumn id="1" name="Unit"/>
    <tableColumn id="2" name="Route"/>
    <tableColumn id="3" name="Status"/>
    <tableColumn id="4" name="Nominal diameter (in)"/>
    <tableColumn id="5" name="Role"/>
    <tableColumn id="6" name="3D centerline (LF)"/>
    <tableColumn id="7" name="Source"/>
    <tableColumn id="8" name="Measurement note"/>
  </tableColumns>
</table>
</file>

<file path=xl/tables/table2.xml><?xml version="1.0" encoding="utf-8"?>
<table xmlns="http://schemas.openxmlformats.org/spreadsheetml/2006/main" id="2" name="FinishAllowanceTable" displayName="FinishAllowanceTable" ref="B5:K29" headerRowCount="1" totalsRowCount="0" totalsRowShown="0">
  <autoFilter ref="B5:K29"/>
  <tableColumns count="10">
    <tableColumn id="1" name="Allowance"/>
    <tableColumn id="2" name="Unit"/>
    <tableColumn id="3" name="Location"/>
    <tableColumn id="4" name="Finish code"/>
    <tableColumn id="5" name="Finish / scope description"/>
    <tableColumn id="6" name="Quantity"/>
    <tableColumn id="7" name="UoM"/>
    <tableColumn id="8" name="Takeoff category"/>
    <tableColumn id="9" name="Source"/>
    <tableColumn id="10" name="Execution inclusion"/>
  </tableColumns>
</table>
</file>

<file path=xl/tables/table3.xml><?xml version="1.0" encoding="utf-8"?>
<table xmlns="http://schemas.openxmlformats.org/spreadsheetml/2006/main" id="3" name="MasterTakeoffTable" displayName="MasterTakeoffTable" ref="B5:M131" headerRowCount="1" totalsRowCount="0" totalsRowShown="0">
  <autoFilter ref="B5:M131"/>
  <tableColumns count="12">
    <tableColumn id="1" name="Item"/>
    <tableColumn id="2" name="Work product"/>
    <tableColumn id="3" name="Division"/>
    <tableColumn id="4" name="Takeoff category"/>
    <tableColumn id="5" name="Unit"/>
    <tableColumn id="6" name="Location"/>
    <tableColumn id="7" name="Scope description"/>
    <tableColumn id="8" name="Quantity"/>
    <tableColumn id="9" name="UoM"/>
    <tableColumn id="10" name="Quantity basis"/>
    <tableColumn id="11" name="Source"/>
    <tableColumn id="12" name="Notes / verification"/>
  </tableColumns>
</table>
</file>

<file path=xl/tables/table4.xml><?xml version="1.0" encoding="utf-8"?>
<table xmlns="http://schemas.openxmlformats.org/spreadsheetml/2006/main" id="4" name="ScopeRegisterTable" displayName="ScopeRegisterTable" ref="B5:G21" headerRowCount="1" totalsRowCount="0" totalsRowShown="0">
  <autoFilter ref="B5:G21"/>
  <tableColumns count="6">
    <tableColumn id="1" name="Work product"/>
    <tableColumn id="2" name="Division"/>
    <tableColumn id="3" name="Scope / requirement"/>
    <tableColumn id="4" name="Measurement approach"/>
    <tableColumn id="5" name="Source"/>
    <tableColumn id="6" name="Required verification / inclusion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7" min="3" style="0" width="18"/>
    <col collapsed="false" customWidth="true" hidden="false" outlineLevel="0" max="8" min="8" style="0" width="22"/>
    <col collapsed="false" customWidth="true" hidden="false" outlineLevel="0" max="9" min="9" style="0" width="18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5" customFormat="false" ht="15" hidden="false" customHeight="false" outlineLevel="0" collapsed="false">
      <c r="B5" s="3" t="s">
        <v>2</v>
      </c>
      <c r="C5" s="3"/>
      <c r="D5" s="3"/>
      <c r="E5" s="3"/>
      <c r="F5" s="3"/>
      <c r="G5" s="3"/>
      <c r="H5" s="3"/>
      <c r="I5" s="3"/>
    </row>
    <row r="7" customFormat="false" ht="24.75" hidden="false" customHeight="true" outlineLevel="0" collapsed="false">
      <c r="B7" s="4" t="s">
        <v>3</v>
      </c>
      <c r="C7" s="4"/>
      <c r="D7" s="4"/>
      <c r="E7" s="5" t="s">
        <v>4</v>
      </c>
      <c r="F7" s="5"/>
      <c r="G7" s="5"/>
      <c r="H7" s="5" t="s">
        <v>5</v>
      </c>
      <c r="I7" s="5"/>
      <c r="J7" s="5"/>
    </row>
    <row r="8" customFormat="false" ht="31.5" hidden="false" customHeight="true" outlineLevel="0" collapsed="false">
      <c r="B8" s="6" t="n">
        <f aca="false">SUMIFS('Master Takeoff'!$I$6:$I$131,'Master Takeoff'!$E$6:$E$131,"DWV - New ABS")</f>
        <v>311.650313</v>
      </c>
      <c r="C8" s="6"/>
      <c r="D8" s="6"/>
      <c r="E8" s="7" t="n">
        <f aca="false">SUMIFS('Master Takeoff'!$I$6:$I$131,'Master Takeoff'!$E$6:$E$131,"Finishes - Tile/Stone")</f>
        <v>2232</v>
      </c>
      <c r="F8" s="7"/>
      <c r="G8" s="7"/>
      <c r="H8" s="7" t="n">
        <f aca="false">SUMIFS('Master Takeoff'!$I$6:$I$131,'Master Takeoff'!$E$6:$E$131,"Finishes - Wood")</f>
        <v>1784</v>
      </c>
      <c r="I8" s="7"/>
      <c r="J8" s="7"/>
    </row>
    <row r="11" customFormat="false" ht="24.75" hidden="false" customHeight="true" outlineLevel="0" collapsed="false">
      <c r="B11" s="5" t="s">
        <v>6</v>
      </c>
      <c r="C11" s="5"/>
      <c r="D11" s="5"/>
      <c r="E11" s="5" t="s">
        <v>7</v>
      </c>
      <c r="F11" s="5"/>
      <c r="G11" s="5"/>
      <c r="H11" s="5" t="s">
        <v>8</v>
      </c>
      <c r="I11" s="5"/>
      <c r="J11" s="5"/>
    </row>
    <row r="12" customFormat="false" ht="31.5" hidden="false" customHeight="true" outlineLevel="0" collapsed="false">
      <c r="B12" s="7" t="n">
        <f aca="false">SUMIFS('Master Takeoff'!$I$6:$I$131,'Master Takeoff'!$E$6:$E$131,"Concrete - Allowance")</f>
        <v>700</v>
      </c>
      <c r="C12" s="7"/>
      <c r="D12" s="7"/>
      <c r="E12" s="7" t="n">
        <f aca="false">SUMIFS('Master Takeoff'!$I$6:$I$131,'Master Takeoff'!$E$6:$E$131,"Finishes - Carpet")</f>
        <v>60</v>
      </c>
      <c r="F12" s="7"/>
      <c r="G12" s="7"/>
      <c r="H12" s="7" t="n">
        <f aca="false">SUMIFS('Master Takeoff'!$I$6:$I$131,'Master Takeoff'!$E$6:$E$131,"Finishes - Countertop")</f>
        <v>82</v>
      </c>
      <c r="I12" s="7"/>
      <c r="J12" s="7"/>
    </row>
    <row r="15" customFormat="false" ht="15" hidden="false" customHeight="false" outlineLevel="0" collapsed="false">
      <c r="B15" s="3" t="s">
        <v>9</v>
      </c>
      <c r="C15" s="3"/>
      <c r="D15" s="3"/>
      <c r="E15" s="3"/>
      <c r="F15" s="3"/>
      <c r="G15" s="3"/>
      <c r="H15" s="3"/>
      <c r="I15" s="3"/>
    </row>
    <row r="17" customFormat="false" ht="31.5" hidden="false" customHeight="true" outlineLevel="0" collapsed="false">
      <c r="B17" s="8" t="s">
        <v>10</v>
      </c>
      <c r="C17" s="8" t="s">
        <v>11</v>
      </c>
      <c r="D17" s="8" t="s">
        <v>12</v>
      </c>
      <c r="E17" s="8" t="s">
        <v>13</v>
      </c>
      <c r="F17" s="8" t="s">
        <v>14</v>
      </c>
      <c r="G17" s="8" t="s">
        <v>15</v>
      </c>
      <c r="H17" s="8" t="s">
        <v>16</v>
      </c>
      <c r="I17" s="8" t="s">
        <v>17</v>
      </c>
    </row>
    <row r="18" customFormat="false" ht="15" hidden="false" customHeight="false" outlineLevel="0" collapsed="false">
      <c r="B18" s="9" t="s">
        <v>18</v>
      </c>
      <c r="C18" s="10" t="n">
        <f aca="false">SUMIFS('Master Takeoff'!$I$6:$I$131,'Master Takeoff'!$E$6:$E$131,"DWV - New ABS",'Master Takeoff'!$F$6:$F$131,$B18)</f>
        <v>72.585922</v>
      </c>
      <c r="D18" s="10" t="n">
        <f aca="false">SUMIFS('Master Takeoff'!$I$6:$I$131,'Master Takeoff'!$E$6:$E$131,"Finishes - Tile/Stone",'Master Takeoff'!$F$6:$F$131,$B18)</f>
        <v>383</v>
      </c>
      <c r="E18" s="10" t="n">
        <f aca="false">SUMIFS('Master Takeoff'!$I$6:$I$131,'Master Takeoff'!$E$6:$E$131,"Finishes - Carpet",'Master Takeoff'!$F$6:$F$131,$B18)</f>
        <v>60</v>
      </c>
      <c r="F18" s="10" t="n">
        <f aca="false">SUMIFS('Master Takeoff'!$I$6:$I$131,'Master Takeoff'!$E$6:$E$131,"Finishes - Wood",'Master Takeoff'!$F$6:$F$131,$B18)</f>
        <v>0</v>
      </c>
      <c r="G18" s="10" t="n">
        <f aca="false">SUMIFS('Master Takeoff'!$I$6:$I$131,'Master Takeoff'!$E$6:$E$131,"Finishes - Countertop",'Master Takeoff'!$F$6:$F$131,$B18)</f>
        <v>0</v>
      </c>
      <c r="H18" s="10" t="n">
        <f aca="false">SUMIFS('Master Takeoff'!$I$6:$I$131,'Master Takeoff'!$E$6:$E$131,"Fixtures - Base R&amp;R",'Master Takeoff'!$F$6:$F$131,$B18,'Master Takeoff'!$H$6:$H$131,"Water closets")</f>
        <v>2</v>
      </c>
      <c r="I18" s="10" t="n">
        <f aca="false">SUMIFS('Master Takeoff'!$I$6:$I$131,'Master Takeoff'!$E$6:$E$131,"Alternate - Fixtures",'Master Takeoff'!$F$6:$F$131,$B18,'Master Takeoff'!$H$6:$H$131,"*bathtub*")</f>
        <v>1</v>
      </c>
    </row>
    <row r="19" customFormat="false" ht="15" hidden="false" customHeight="false" outlineLevel="0" collapsed="false">
      <c r="B19" s="9" t="s">
        <v>19</v>
      </c>
      <c r="C19" s="10" t="n">
        <f aca="false">SUMIFS('Master Takeoff'!$I$6:$I$131,'Master Takeoff'!$E$6:$E$131,"DWV - New ABS",'Master Takeoff'!$F$6:$F$131,$B19)</f>
        <v>76.062391</v>
      </c>
      <c r="D19" s="10" t="n">
        <f aca="false">SUMIFS('Master Takeoff'!$I$6:$I$131,'Master Takeoff'!$E$6:$E$131,"Finishes - Tile/Stone",'Master Takeoff'!$F$6:$F$131,$B19)</f>
        <v>452</v>
      </c>
      <c r="E19" s="10" t="n">
        <f aca="false">SUMIFS('Master Takeoff'!$I$6:$I$131,'Master Takeoff'!$E$6:$E$131,"Finishes - Carpet",'Master Takeoff'!$F$6:$F$131,$B19)</f>
        <v>0</v>
      </c>
      <c r="F19" s="10" t="n">
        <f aca="false">SUMIFS('Master Takeoff'!$I$6:$I$131,'Master Takeoff'!$E$6:$E$131,"Finishes - Wood",'Master Takeoff'!$F$6:$F$131,$B19)</f>
        <v>255</v>
      </c>
      <c r="G19" s="10" t="n">
        <f aca="false">SUMIFS('Master Takeoff'!$I$6:$I$131,'Master Takeoff'!$E$6:$E$131,"Finishes - Countertop",'Master Takeoff'!$F$6:$F$131,$B19)</f>
        <v>0</v>
      </c>
      <c r="H19" s="10" t="n">
        <f aca="false">SUMIFS('Master Takeoff'!$I$6:$I$131,'Master Takeoff'!$E$6:$E$131,"Fixtures - Base R&amp;R",'Master Takeoff'!$F$6:$F$131,$B19,'Master Takeoff'!$H$6:$H$131,"Water closets")</f>
        <v>2</v>
      </c>
      <c r="I19" s="10" t="n">
        <f aca="false">SUMIFS('Master Takeoff'!$I$6:$I$131,'Master Takeoff'!$E$6:$E$131,"Alternate - Fixtures",'Master Takeoff'!$F$6:$F$131,$B19,'Master Takeoff'!$H$6:$H$131,"*bathtub*")</f>
        <v>1</v>
      </c>
    </row>
    <row r="20" customFormat="false" ht="15" hidden="false" customHeight="false" outlineLevel="0" collapsed="false">
      <c r="B20" s="9" t="s">
        <v>20</v>
      </c>
      <c r="C20" s="10" t="n">
        <f aca="false">SUMIFS('Master Takeoff'!$I$6:$I$131,'Master Takeoff'!$E$6:$E$131,"DWV - New ABS",'Master Takeoff'!$F$6:$F$131,$B20)</f>
        <v>93.30039</v>
      </c>
      <c r="D20" s="10" t="n">
        <f aca="false">SUMIFS('Master Takeoff'!$I$6:$I$131,'Master Takeoff'!$E$6:$E$131,"Finishes - Tile/Stone",'Master Takeoff'!$F$6:$F$131,$B20)</f>
        <v>991</v>
      </c>
      <c r="E20" s="10" t="n">
        <f aca="false">SUMIFS('Master Takeoff'!$I$6:$I$131,'Master Takeoff'!$E$6:$E$131,"Finishes - Carpet",'Master Takeoff'!$F$6:$F$131,$B20)</f>
        <v>0</v>
      </c>
      <c r="F20" s="10" t="n">
        <f aca="false">SUMIFS('Master Takeoff'!$I$6:$I$131,'Master Takeoff'!$E$6:$E$131,"Finishes - Wood",'Master Takeoff'!$F$6:$F$131,$B20)</f>
        <v>0</v>
      </c>
      <c r="G20" s="10" t="n">
        <f aca="false">SUMIFS('Master Takeoff'!$I$6:$I$131,'Master Takeoff'!$E$6:$E$131,"Finishes - Countertop",'Master Takeoff'!$F$6:$F$131,$B20)</f>
        <v>0</v>
      </c>
      <c r="H20" s="10" t="n">
        <f aca="false">SUMIFS('Master Takeoff'!$I$6:$I$131,'Master Takeoff'!$E$6:$E$131,"Fixtures - Base R&amp;R",'Master Takeoff'!$F$6:$F$131,$B20,'Master Takeoff'!$H$6:$H$131,"Water closets")</f>
        <v>2</v>
      </c>
      <c r="I20" s="10" t="n">
        <f aca="false">SUMIFS('Master Takeoff'!$I$6:$I$131,'Master Takeoff'!$E$6:$E$131,"Alternate - Fixtures",'Master Takeoff'!$F$6:$F$131,$B20,'Master Takeoff'!$H$6:$H$131,"*bathtub*")</f>
        <v>1</v>
      </c>
    </row>
    <row r="21" customFormat="false" ht="15" hidden="false" customHeight="false" outlineLevel="0" collapsed="false">
      <c r="B21" s="9" t="s">
        <v>21</v>
      </c>
      <c r="C21" s="10" t="n">
        <f aca="false">SUMIFS('Master Takeoff'!$I$6:$I$131,'Master Takeoff'!$E$6:$E$131,"DWV - New ABS",'Master Takeoff'!$F$6:$F$131,$B21)</f>
        <v>69.70161</v>
      </c>
      <c r="D21" s="10" t="n">
        <f aca="false">SUMIFS('Master Takeoff'!$I$6:$I$131,'Master Takeoff'!$E$6:$E$131,"Finishes - Tile/Stone",'Master Takeoff'!$F$6:$F$131,$B21)</f>
        <v>406</v>
      </c>
      <c r="E21" s="10" t="n">
        <f aca="false">SUMIFS('Master Takeoff'!$I$6:$I$131,'Master Takeoff'!$E$6:$E$131,"Finishes - Carpet",'Master Takeoff'!$F$6:$F$131,$B21)</f>
        <v>0</v>
      </c>
      <c r="F21" s="10" t="n">
        <f aca="false">SUMIFS('Master Takeoff'!$I$6:$I$131,'Master Takeoff'!$E$6:$E$131,"Finishes - Wood",'Master Takeoff'!$F$6:$F$131,$B21)</f>
        <v>1529</v>
      </c>
      <c r="G21" s="10" t="n">
        <f aca="false">SUMIFS('Master Takeoff'!$I$6:$I$131,'Master Takeoff'!$E$6:$E$131,"Finishes - Countertop",'Master Takeoff'!$F$6:$F$131,$B21)</f>
        <v>82</v>
      </c>
      <c r="H21" s="10" t="n">
        <f aca="false">SUMIFS('Master Takeoff'!$I$6:$I$131,'Master Takeoff'!$E$6:$E$131,"Fixtures - Base R&amp;R",'Master Takeoff'!$F$6:$F$131,$B21,'Master Takeoff'!$H$6:$H$131,"Water closets")</f>
        <v>2</v>
      </c>
      <c r="I21" s="10" t="n">
        <f aca="false">SUMIFS('Master Takeoff'!$I$6:$I$131,'Master Takeoff'!$E$6:$E$131,"Alternate - Fixtures",'Master Takeoff'!$F$6:$F$131,$B21,'Master Takeoff'!$H$6:$H$131,"*bathtub*")</f>
        <v>1</v>
      </c>
    </row>
    <row r="22" customFormat="false" ht="15" hidden="false" customHeight="false" outlineLevel="0" collapsed="false">
      <c r="B22" s="11" t="s">
        <v>22</v>
      </c>
      <c r="C22" s="12" t="n">
        <f aca="false">SUM(C18:C21)</f>
        <v>311.650313</v>
      </c>
      <c r="D22" s="12" t="n">
        <f aca="false">SUM(D18:D21)</f>
        <v>2232</v>
      </c>
      <c r="E22" s="12" t="n">
        <f aca="false">SUM(E18:E21)</f>
        <v>60</v>
      </c>
      <c r="F22" s="12" t="n">
        <f aca="false">SUM(F18:F21)</f>
        <v>1784</v>
      </c>
      <c r="G22" s="12" t="n">
        <f aca="false">SUM(G18:G21)</f>
        <v>82</v>
      </c>
      <c r="H22" s="12" t="n">
        <f aca="false">SUM(H18:H21)</f>
        <v>8</v>
      </c>
      <c r="I22" s="12" t="n">
        <f aca="false">SUM(I18:I21)</f>
        <v>4</v>
      </c>
    </row>
    <row r="25" customFormat="false" ht="15" hidden="false" customHeight="false" outlineLevel="0" collapsed="false">
      <c r="B25" s="3" t="s">
        <v>23</v>
      </c>
      <c r="C25" s="3"/>
      <c r="D25" s="3"/>
      <c r="E25" s="3"/>
      <c r="F25" s="3"/>
      <c r="G25" s="3"/>
      <c r="H25" s="3"/>
      <c r="I25" s="3"/>
    </row>
    <row r="27" customFormat="false" ht="15" hidden="false" customHeight="false" outlineLevel="0" collapsed="false">
      <c r="B27" s="13" t="s">
        <v>24</v>
      </c>
      <c r="C27" s="14" t="s">
        <v>25</v>
      </c>
      <c r="D27" s="14"/>
      <c r="E27" s="14"/>
      <c r="F27" s="14"/>
      <c r="G27" s="14"/>
      <c r="H27" s="14"/>
      <c r="I27" s="14"/>
    </row>
    <row r="28" customFormat="false" ht="15" hidden="false" customHeight="false" outlineLevel="0" collapsed="false">
      <c r="B28" s="13" t="s">
        <v>26</v>
      </c>
      <c r="C28" s="14" t="s">
        <v>27</v>
      </c>
      <c r="D28" s="14"/>
      <c r="E28" s="14"/>
      <c r="F28" s="14"/>
      <c r="G28" s="14"/>
      <c r="H28" s="14"/>
      <c r="I28" s="14"/>
    </row>
    <row r="29" customFormat="false" ht="15" hidden="false" customHeight="false" outlineLevel="0" collapsed="false">
      <c r="B29" s="13" t="s">
        <v>28</v>
      </c>
      <c r="C29" s="14" t="s">
        <v>29</v>
      </c>
      <c r="D29" s="14"/>
      <c r="E29" s="14"/>
      <c r="F29" s="14"/>
      <c r="G29" s="14"/>
      <c r="H29" s="14"/>
      <c r="I29" s="14"/>
    </row>
    <row r="30" customFormat="false" ht="15" hidden="false" customHeight="false" outlineLevel="0" collapsed="false">
      <c r="B30" s="13" t="s">
        <v>30</v>
      </c>
      <c r="C30" s="14" t="s">
        <v>31</v>
      </c>
      <c r="D30" s="14"/>
      <c r="E30" s="14"/>
      <c r="F30" s="14"/>
      <c r="G30" s="14"/>
      <c r="H30" s="14"/>
      <c r="I30" s="14"/>
    </row>
    <row r="31" customFormat="false" ht="15" hidden="false" customHeight="false" outlineLevel="0" collapsed="false">
      <c r="B31" s="13" t="s">
        <v>32</v>
      </c>
      <c r="C31" s="14" t="s">
        <v>33</v>
      </c>
      <c r="D31" s="14"/>
      <c r="E31" s="14"/>
      <c r="F31" s="14"/>
      <c r="G31" s="14"/>
      <c r="H31" s="14"/>
      <c r="I31" s="14"/>
    </row>
    <row r="32" customFormat="false" ht="15" hidden="false" customHeight="true" outlineLevel="0" collapsed="false">
      <c r="B32" s="15" t="s">
        <v>34</v>
      </c>
      <c r="C32" s="15"/>
      <c r="D32" s="15"/>
      <c r="E32" s="15"/>
      <c r="F32" s="15"/>
      <c r="G32" s="15"/>
      <c r="H32" s="15"/>
      <c r="I32" s="15"/>
    </row>
    <row r="33" customFormat="false" ht="15" hidden="false" customHeight="false" outlineLevel="0" collapsed="false">
      <c r="B33" s="15"/>
      <c r="C33" s="15"/>
      <c r="D33" s="15"/>
      <c r="E33" s="15"/>
      <c r="F33" s="15"/>
      <c r="G33" s="15"/>
      <c r="H33" s="15"/>
      <c r="I33" s="15"/>
    </row>
    <row r="34" customFormat="false" ht="15" hidden="false" customHeight="true" outlineLevel="0" collapsed="false">
      <c r="B34" s="16" t="s">
        <v>35</v>
      </c>
      <c r="C34" s="16"/>
      <c r="D34" s="16"/>
      <c r="E34" s="16"/>
      <c r="F34" s="16"/>
      <c r="G34" s="16"/>
      <c r="H34" s="16"/>
      <c r="I34" s="16"/>
    </row>
    <row r="35" customFormat="false" ht="15" hidden="false" customHeight="false" outlineLevel="0" collapsed="false">
      <c r="B35" s="16"/>
      <c r="C35" s="16"/>
      <c r="D35" s="16"/>
      <c r="E35" s="16"/>
      <c r="F35" s="16"/>
      <c r="G35" s="16"/>
      <c r="H35" s="16"/>
      <c r="I35" s="16"/>
    </row>
    <row r="36" customFormat="false" ht="15" hidden="false" customHeight="false" outlineLevel="0" collapsed="false">
      <c r="B36" s="16"/>
      <c r="C36" s="16"/>
      <c r="D36" s="16"/>
      <c r="E36" s="16"/>
      <c r="F36" s="16"/>
      <c r="G36" s="16"/>
      <c r="H36" s="16"/>
      <c r="I36" s="16"/>
    </row>
  </sheetData>
  <mergeCells count="24">
    <mergeCell ref="B2:I2"/>
    <mergeCell ref="B3:I3"/>
    <mergeCell ref="B5:I5"/>
    <mergeCell ref="B7:D7"/>
    <mergeCell ref="E7:G7"/>
    <mergeCell ref="H7:J7"/>
    <mergeCell ref="B8:D8"/>
    <mergeCell ref="E8:G8"/>
    <mergeCell ref="H8:J8"/>
    <mergeCell ref="B11:D11"/>
    <mergeCell ref="E11:G11"/>
    <mergeCell ref="H11:J11"/>
    <mergeCell ref="B12:D12"/>
    <mergeCell ref="E12:G12"/>
    <mergeCell ref="H12:J12"/>
    <mergeCell ref="B15:I15"/>
    <mergeCell ref="B25:I25"/>
    <mergeCell ref="C27:I27"/>
    <mergeCell ref="C28:I28"/>
    <mergeCell ref="C29:I29"/>
    <mergeCell ref="C30:I30"/>
    <mergeCell ref="C31:I31"/>
    <mergeCell ref="B32:I33"/>
    <mergeCell ref="B34:I36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101 Meydenbauer · Comprehensive Project Takeoff&amp;R&amp;8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2" style="0" width="12"/>
    <col collapsed="false" customWidth="true" hidden="false" outlineLevel="0" max="4" min="4" style="0" width="27"/>
    <col collapsed="false" customWidth="true" hidden="false" outlineLevel="0" max="5" min="5" style="0" width="13"/>
    <col collapsed="false" customWidth="true" hidden="false" outlineLevel="0" max="6" min="6" style="0" width="62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58"/>
  </cols>
  <sheetData>
    <row r="2" customFormat="false" ht="33.75" hidden="false" customHeight="true" outlineLevel="0" collapsed="false">
      <c r="B2" s="17" t="s">
        <v>36</v>
      </c>
      <c r="C2" s="17"/>
      <c r="D2" s="17"/>
      <c r="E2" s="17"/>
      <c r="F2" s="17"/>
      <c r="G2" s="17"/>
      <c r="H2" s="17"/>
      <c r="I2" s="17"/>
      <c r="J2" s="17"/>
      <c r="K2" s="17"/>
    </row>
    <row r="3" customFormat="false" ht="31.5" hidden="false" customHeight="true" outlineLevel="0" collapsed="false">
      <c r="B3" s="18" t="s">
        <v>37</v>
      </c>
      <c r="C3" s="18"/>
      <c r="D3" s="18"/>
      <c r="E3" s="18"/>
      <c r="F3" s="18"/>
      <c r="G3" s="18"/>
      <c r="H3" s="18"/>
      <c r="I3" s="18"/>
      <c r="J3" s="18"/>
      <c r="K3" s="18"/>
    </row>
    <row r="5" customFormat="false" ht="30" hidden="false" customHeight="true" outlineLevel="0" collapsed="false">
      <c r="B5" s="19" t="s">
        <v>38</v>
      </c>
      <c r="C5" s="19" t="s">
        <v>10</v>
      </c>
      <c r="D5" s="19" t="s">
        <v>39</v>
      </c>
      <c r="E5" s="19" t="s">
        <v>40</v>
      </c>
      <c r="F5" s="19" t="s">
        <v>41</v>
      </c>
      <c r="G5" s="19" t="s">
        <v>42</v>
      </c>
      <c r="H5" s="19" t="s">
        <v>43</v>
      </c>
      <c r="I5" s="19" t="s">
        <v>44</v>
      </c>
      <c r="J5" s="19" t="s">
        <v>45</v>
      </c>
      <c r="K5" s="19" t="s">
        <v>46</v>
      </c>
    </row>
    <row r="6" customFormat="false" ht="33.75" hidden="false" customHeight="true" outlineLevel="0" collapsed="false">
      <c r="B6" s="20" t="s">
        <v>47</v>
      </c>
      <c r="C6" s="20" t="s">
        <v>18</v>
      </c>
      <c r="D6" s="20" t="s">
        <v>48</v>
      </c>
      <c r="E6" s="20" t="s">
        <v>49</v>
      </c>
      <c r="F6" s="20" t="s">
        <v>50</v>
      </c>
      <c r="G6" s="21" t="n">
        <v>253</v>
      </c>
      <c r="H6" s="20" t="s">
        <v>51</v>
      </c>
      <c r="I6" s="20" t="s">
        <v>52</v>
      </c>
      <c r="J6" s="20" t="s">
        <v>53</v>
      </c>
      <c r="K6" s="20" t="s">
        <v>54</v>
      </c>
    </row>
    <row r="7" customFormat="false" ht="33.75" hidden="false" customHeight="true" outlineLevel="0" collapsed="false">
      <c r="B7" s="22" t="s">
        <v>55</v>
      </c>
      <c r="C7" s="22" t="s">
        <v>18</v>
      </c>
      <c r="D7" s="22" t="s">
        <v>48</v>
      </c>
      <c r="E7" s="22" t="s">
        <v>56</v>
      </c>
      <c r="F7" s="22" t="s">
        <v>57</v>
      </c>
      <c r="G7" s="23" t="n">
        <v>25</v>
      </c>
      <c r="H7" s="22" t="s">
        <v>51</v>
      </c>
      <c r="I7" s="22" t="s">
        <v>52</v>
      </c>
      <c r="J7" s="22" t="s">
        <v>53</v>
      </c>
      <c r="K7" s="22" t="s">
        <v>54</v>
      </c>
    </row>
    <row r="8" customFormat="false" ht="33.75" hidden="false" customHeight="true" outlineLevel="0" collapsed="false">
      <c r="B8" s="20" t="s">
        <v>58</v>
      </c>
      <c r="C8" s="20" t="s">
        <v>18</v>
      </c>
      <c r="D8" s="20" t="s">
        <v>59</v>
      </c>
      <c r="E8" s="20" t="s">
        <v>60</v>
      </c>
      <c r="F8" s="20" t="s">
        <v>61</v>
      </c>
      <c r="G8" s="21" t="n">
        <v>105</v>
      </c>
      <c r="H8" s="20" t="s">
        <v>51</v>
      </c>
      <c r="I8" s="20" t="s">
        <v>52</v>
      </c>
      <c r="J8" s="20" t="s">
        <v>53</v>
      </c>
      <c r="K8" s="20" t="s">
        <v>54</v>
      </c>
    </row>
    <row r="9" customFormat="false" ht="33.75" hidden="false" customHeight="true" outlineLevel="0" collapsed="false">
      <c r="B9" s="22" t="s">
        <v>62</v>
      </c>
      <c r="C9" s="22" t="s">
        <v>18</v>
      </c>
      <c r="D9" s="22" t="s">
        <v>59</v>
      </c>
      <c r="E9" s="22" t="s">
        <v>63</v>
      </c>
      <c r="F9" s="22" t="s">
        <v>64</v>
      </c>
      <c r="G9" s="23" t="n">
        <v>60</v>
      </c>
      <c r="H9" s="22" t="s">
        <v>51</v>
      </c>
      <c r="I9" s="22" t="s">
        <v>65</v>
      </c>
      <c r="J9" s="22" t="s">
        <v>53</v>
      </c>
      <c r="K9" s="22" t="s">
        <v>54</v>
      </c>
    </row>
    <row r="10" customFormat="false" ht="33.75" hidden="false" customHeight="true" outlineLevel="0" collapsed="false">
      <c r="B10" s="20" t="s">
        <v>66</v>
      </c>
      <c r="C10" s="20" t="s">
        <v>19</v>
      </c>
      <c r="D10" s="20" t="s">
        <v>59</v>
      </c>
      <c r="E10" s="20" t="s">
        <v>67</v>
      </c>
      <c r="F10" s="20" t="s">
        <v>68</v>
      </c>
      <c r="G10" s="21" t="n">
        <v>62</v>
      </c>
      <c r="H10" s="20" t="s">
        <v>51</v>
      </c>
      <c r="I10" s="20" t="s">
        <v>52</v>
      </c>
      <c r="J10" s="20" t="s">
        <v>69</v>
      </c>
      <c r="K10" s="20" t="s">
        <v>54</v>
      </c>
    </row>
    <row r="11" customFormat="false" ht="33.75" hidden="false" customHeight="true" outlineLevel="0" collapsed="false">
      <c r="B11" s="22" t="s">
        <v>70</v>
      </c>
      <c r="C11" s="22" t="s">
        <v>19</v>
      </c>
      <c r="D11" s="22" t="s">
        <v>59</v>
      </c>
      <c r="E11" s="22" t="s">
        <v>71</v>
      </c>
      <c r="F11" s="22" t="s">
        <v>72</v>
      </c>
      <c r="G11" s="23" t="n">
        <v>25</v>
      </c>
      <c r="H11" s="22" t="s">
        <v>51</v>
      </c>
      <c r="I11" s="22" t="s">
        <v>52</v>
      </c>
      <c r="J11" s="22" t="s">
        <v>69</v>
      </c>
      <c r="K11" s="22" t="s">
        <v>54</v>
      </c>
    </row>
    <row r="12" customFormat="false" ht="33.75" hidden="false" customHeight="true" outlineLevel="0" collapsed="false">
      <c r="B12" s="20" t="s">
        <v>73</v>
      </c>
      <c r="C12" s="20" t="s">
        <v>19</v>
      </c>
      <c r="D12" s="20" t="s">
        <v>74</v>
      </c>
      <c r="E12" s="20" t="s">
        <v>75</v>
      </c>
      <c r="F12" s="20" t="s">
        <v>76</v>
      </c>
      <c r="G12" s="21" t="n">
        <v>75</v>
      </c>
      <c r="H12" s="20" t="s">
        <v>51</v>
      </c>
      <c r="I12" s="20" t="s">
        <v>52</v>
      </c>
      <c r="J12" s="20" t="s">
        <v>69</v>
      </c>
      <c r="K12" s="20" t="s">
        <v>54</v>
      </c>
    </row>
    <row r="13" customFormat="false" ht="33.75" hidden="false" customHeight="true" outlineLevel="0" collapsed="false">
      <c r="B13" s="22" t="s">
        <v>77</v>
      </c>
      <c r="C13" s="22" t="s">
        <v>19</v>
      </c>
      <c r="D13" s="22" t="s">
        <v>48</v>
      </c>
      <c r="E13" s="22" t="s">
        <v>78</v>
      </c>
      <c r="F13" s="22" t="s">
        <v>79</v>
      </c>
      <c r="G13" s="23" t="n">
        <v>18</v>
      </c>
      <c r="H13" s="22" t="s">
        <v>51</v>
      </c>
      <c r="I13" s="22" t="s">
        <v>52</v>
      </c>
      <c r="J13" s="22" t="s">
        <v>80</v>
      </c>
      <c r="K13" s="22" t="s">
        <v>54</v>
      </c>
    </row>
    <row r="14" customFormat="false" ht="33.75" hidden="false" customHeight="true" outlineLevel="0" collapsed="false">
      <c r="B14" s="20" t="s">
        <v>81</v>
      </c>
      <c r="C14" s="20" t="s">
        <v>19</v>
      </c>
      <c r="D14" s="20" t="s">
        <v>48</v>
      </c>
      <c r="E14" s="20" t="s">
        <v>82</v>
      </c>
      <c r="F14" s="20" t="s">
        <v>83</v>
      </c>
      <c r="G14" s="21" t="n">
        <v>128</v>
      </c>
      <c r="H14" s="20" t="s">
        <v>51</v>
      </c>
      <c r="I14" s="20" t="s">
        <v>52</v>
      </c>
      <c r="J14" s="20" t="s">
        <v>80</v>
      </c>
      <c r="K14" s="20" t="s">
        <v>54</v>
      </c>
    </row>
    <row r="15" customFormat="false" ht="33.75" hidden="false" customHeight="true" outlineLevel="0" collapsed="false">
      <c r="B15" s="22" t="s">
        <v>84</v>
      </c>
      <c r="C15" s="22" t="s">
        <v>19</v>
      </c>
      <c r="D15" s="22" t="s">
        <v>48</v>
      </c>
      <c r="E15" s="22" t="s">
        <v>85</v>
      </c>
      <c r="F15" s="22" t="s">
        <v>86</v>
      </c>
      <c r="G15" s="23" t="n">
        <v>16</v>
      </c>
      <c r="H15" s="22" t="s">
        <v>51</v>
      </c>
      <c r="I15" s="22" t="s">
        <v>52</v>
      </c>
      <c r="J15" s="22" t="s">
        <v>80</v>
      </c>
      <c r="K15" s="22" t="s">
        <v>54</v>
      </c>
    </row>
    <row r="16" customFormat="false" ht="33.75" hidden="false" customHeight="true" outlineLevel="0" collapsed="false">
      <c r="B16" s="20" t="s">
        <v>87</v>
      </c>
      <c r="C16" s="20" t="s">
        <v>19</v>
      </c>
      <c r="D16" s="20" t="s">
        <v>88</v>
      </c>
      <c r="E16" s="20" t="s">
        <v>89</v>
      </c>
      <c r="F16" s="20" t="s">
        <v>90</v>
      </c>
      <c r="G16" s="21" t="n">
        <v>128</v>
      </c>
      <c r="H16" s="20" t="s">
        <v>51</v>
      </c>
      <c r="I16" s="20" t="s">
        <v>52</v>
      </c>
      <c r="J16" s="20" t="s">
        <v>91</v>
      </c>
      <c r="K16" s="20" t="s">
        <v>54</v>
      </c>
    </row>
    <row r="17" customFormat="false" ht="33.75" hidden="false" customHeight="true" outlineLevel="0" collapsed="false">
      <c r="B17" s="22" t="s">
        <v>92</v>
      </c>
      <c r="C17" s="22" t="s">
        <v>19</v>
      </c>
      <c r="D17" s="22" t="s">
        <v>93</v>
      </c>
      <c r="E17" s="22" t="s">
        <v>94</v>
      </c>
      <c r="F17" s="22" t="s">
        <v>95</v>
      </c>
      <c r="G17" s="23" t="n">
        <v>255</v>
      </c>
      <c r="H17" s="22" t="s">
        <v>51</v>
      </c>
      <c r="I17" s="22" t="s">
        <v>96</v>
      </c>
      <c r="J17" s="22" t="s">
        <v>69</v>
      </c>
      <c r="K17" s="22" t="s">
        <v>54</v>
      </c>
    </row>
    <row r="18" customFormat="false" ht="33.75" hidden="false" customHeight="true" outlineLevel="0" collapsed="false">
      <c r="B18" s="20" t="s">
        <v>97</v>
      </c>
      <c r="C18" s="20" t="s">
        <v>20</v>
      </c>
      <c r="D18" s="20" t="s">
        <v>98</v>
      </c>
      <c r="E18" s="20" t="s">
        <v>99</v>
      </c>
      <c r="F18" s="20" t="s">
        <v>100</v>
      </c>
      <c r="G18" s="21" t="n">
        <v>91</v>
      </c>
      <c r="H18" s="20" t="s">
        <v>51</v>
      </c>
      <c r="I18" s="20" t="s">
        <v>52</v>
      </c>
      <c r="J18" s="20" t="s">
        <v>101</v>
      </c>
      <c r="K18" s="20" t="s">
        <v>54</v>
      </c>
    </row>
    <row r="19" customFormat="false" ht="33.75" hidden="false" customHeight="true" outlineLevel="0" collapsed="false">
      <c r="B19" s="22" t="s">
        <v>102</v>
      </c>
      <c r="C19" s="22" t="s">
        <v>20</v>
      </c>
      <c r="D19" s="22" t="s">
        <v>59</v>
      </c>
      <c r="E19" s="22" t="s">
        <v>103</v>
      </c>
      <c r="F19" s="22" t="s">
        <v>104</v>
      </c>
      <c r="G19" s="23" t="n">
        <v>16</v>
      </c>
      <c r="H19" s="22" t="s">
        <v>51</v>
      </c>
      <c r="I19" s="22" t="s">
        <v>52</v>
      </c>
      <c r="J19" s="22" t="s">
        <v>105</v>
      </c>
      <c r="K19" s="22" t="s">
        <v>54</v>
      </c>
    </row>
    <row r="20" customFormat="false" ht="33.75" hidden="false" customHeight="true" outlineLevel="0" collapsed="false">
      <c r="B20" s="20" t="s">
        <v>106</v>
      </c>
      <c r="C20" s="20" t="s">
        <v>20</v>
      </c>
      <c r="D20" s="20" t="s">
        <v>98</v>
      </c>
      <c r="E20" s="20" t="s">
        <v>107</v>
      </c>
      <c r="F20" s="20" t="s">
        <v>108</v>
      </c>
      <c r="G20" s="21" t="n">
        <v>456</v>
      </c>
      <c r="H20" s="20" t="s">
        <v>51</v>
      </c>
      <c r="I20" s="20" t="s">
        <v>52</v>
      </c>
      <c r="J20" s="20" t="s">
        <v>105</v>
      </c>
      <c r="K20" s="20" t="s">
        <v>54</v>
      </c>
    </row>
    <row r="21" customFormat="false" ht="33.75" hidden="false" customHeight="true" outlineLevel="0" collapsed="false">
      <c r="B21" s="22" t="s">
        <v>109</v>
      </c>
      <c r="C21" s="22" t="s">
        <v>20</v>
      </c>
      <c r="D21" s="22" t="s">
        <v>110</v>
      </c>
      <c r="E21" s="22" t="s">
        <v>111</v>
      </c>
      <c r="F21" s="22" t="s">
        <v>112</v>
      </c>
      <c r="G21" s="23" t="n">
        <v>31</v>
      </c>
      <c r="H21" s="22" t="s">
        <v>51</v>
      </c>
      <c r="I21" s="22" t="s">
        <v>52</v>
      </c>
      <c r="J21" s="22" t="s">
        <v>105</v>
      </c>
      <c r="K21" s="22" t="s">
        <v>54</v>
      </c>
    </row>
    <row r="22" customFormat="false" ht="33.75" hidden="false" customHeight="true" outlineLevel="0" collapsed="false">
      <c r="B22" s="20" t="s">
        <v>113</v>
      </c>
      <c r="C22" s="20" t="s">
        <v>20</v>
      </c>
      <c r="D22" s="20" t="s">
        <v>114</v>
      </c>
      <c r="E22" s="20" t="s">
        <v>115</v>
      </c>
      <c r="F22" s="20" t="s">
        <v>116</v>
      </c>
      <c r="G22" s="21" t="n">
        <v>397</v>
      </c>
      <c r="H22" s="20" t="s">
        <v>51</v>
      </c>
      <c r="I22" s="20" t="s">
        <v>52</v>
      </c>
      <c r="J22" s="20" t="s">
        <v>105</v>
      </c>
      <c r="K22" s="20" t="s">
        <v>54</v>
      </c>
    </row>
    <row r="23" customFormat="false" ht="33.75" hidden="false" customHeight="true" outlineLevel="0" collapsed="false">
      <c r="B23" s="22" t="s">
        <v>117</v>
      </c>
      <c r="C23" s="22" t="s">
        <v>21</v>
      </c>
      <c r="D23" s="22" t="s">
        <v>118</v>
      </c>
      <c r="E23" s="22" t="s">
        <v>119</v>
      </c>
      <c r="F23" s="22" t="s">
        <v>120</v>
      </c>
      <c r="G23" s="23" t="n">
        <v>80</v>
      </c>
      <c r="H23" s="22" t="s">
        <v>51</v>
      </c>
      <c r="I23" s="22" t="s">
        <v>52</v>
      </c>
      <c r="J23" s="22" t="s">
        <v>121</v>
      </c>
      <c r="K23" s="22" t="s">
        <v>54</v>
      </c>
    </row>
    <row r="24" customFormat="false" ht="33.75" hidden="false" customHeight="true" outlineLevel="0" collapsed="false">
      <c r="B24" s="20" t="s">
        <v>122</v>
      </c>
      <c r="C24" s="20" t="s">
        <v>21</v>
      </c>
      <c r="D24" s="20" t="s">
        <v>48</v>
      </c>
      <c r="E24" s="20" t="s">
        <v>123</v>
      </c>
      <c r="F24" s="20" t="s">
        <v>124</v>
      </c>
      <c r="G24" s="21" t="n">
        <v>60</v>
      </c>
      <c r="H24" s="20" t="s">
        <v>51</v>
      </c>
      <c r="I24" s="20" t="s">
        <v>52</v>
      </c>
      <c r="J24" s="20" t="s">
        <v>121</v>
      </c>
      <c r="K24" s="20" t="s">
        <v>54</v>
      </c>
    </row>
    <row r="25" customFormat="false" ht="33.75" hidden="false" customHeight="true" outlineLevel="0" collapsed="false">
      <c r="B25" s="22" t="s">
        <v>125</v>
      </c>
      <c r="C25" s="22" t="s">
        <v>21</v>
      </c>
      <c r="D25" s="22" t="s">
        <v>59</v>
      </c>
      <c r="E25" s="22" t="s">
        <v>126</v>
      </c>
      <c r="F25" s="22" t="s">
        <v>127</v>
      </c>
      <c r="G25" s="23" t="n">
        <v>20</v>
      </c>
      <c r="H25" s="22" t="s">
        <v>51</v>
      </c>
      <c r="I25" s="22" t="s">
        <v>52</v>
      </c>
      <c r="J25" s="22" t="s">
        <v>128</v>
      </c>
      <c r="K25" s="22" t="s">
        <v>54</v>
      </c>
    </row>
    <row r="26" customFormat="false" ht="33.75" hidden="false" customHeight="true" outlineLevel="0" collapsed="false">
      <c r="B26" s="20" t="s">
        <v>129</v>
      </c>
      <c r="C26" s="20" t="s">
        <v>21</v>
      </c>
      <c r="D26" s="20" t="s">
        <v>130</v>
      </c>
      <c r="E26" s="20" t="s">
        <v>89</v>
      </c>
      <c r="F26" s="20" t="s">
        <v>131</v>
      </c>
      <c r="G26" s="21" t="n">
        <v>246</v>
      </c>
      <c r="H26" s="20" t="s">
        <v>51</v>
      </c>
      <c r="I26" s="20" t="s">
        <v>52</v>
      </c>
      <c r="J26" s="20" t="s">
        <v>128</v>
      </c>
      <c r="K26" s="20" t="s">
        <v>54</v>
      </c>
    </row>
    <row r="27" customFormat="false" ht="33.75" hidden="false" customHeight="true" outlineLevel="0" collapsed="false">
      <c r="B27" s="22" t="s">
        <v>132</v>
      </c>
      <c r="C27" s="22" t="s">
        <v>21</v>
      </c>
      <c r="D27" s="22" t="s">
        <v>133</v>
      </c>
      <c r="E27" s="22" t="s">
        <v>134</v>
      </c>
      <c r="F27" s="22" t="s">
        <v>135</v>
      </c>
      <c r="G27" s="23" t="n">
        <v>1529</v>
      </c>
      <c r="H27" s="22" t="s">
        <v>51</v>
      </c>
      <c r="I27" s="22" t="s">
        <v>96</v>
      </c>
      <c r="J27" s="22" t="s">
        <v>136</v>
      </c>
      <c r="K27" s="22" t="s">
        <v>54</v>
      </c>
    </row>
    <row r="28" customFormat="false" ht="33.75" hidden="false" customHeight="true" outlineLevel="0" collapsed="false">
      <c r="B28" s="20" t="s">
        <v>137</v>
      </c>
      <c r="C28" s="20" t="s">
        <v>138</v>
      </c>
      <c r="D28" s="20" t="s">
        <v>139</v>
      </c>
      <c r="E28" s="20" t="s">
        <v>140</v>
      </c>
      <c r="F28" s="20" t="s">
        <v>141</v>
      </c>
      <c r="G28" s="21" t="n">
        <v>700</v>
      </c>
      <c r="H28" s="20" t="s">
        <v>51</v>
      </c>
      <c r="I28" s="20" t="s">
        <v>142</v>
      </c>
      <c r="J28" s="20" t="s">
        <v>143</v>
      </c>
      <c r="K28" s="20" t="s">
        <v>144</v>
      </c>
    </row>
    <row r="29" customFormat="false" ht="33.75" hidden="false" customHeight="true" outlineLevel="0" collapsed="false">
      <c r="B29" s="22" t="s">
        <v>145</v>
      </c>
      <c r="C29" s="22" t="s">
        <v>21</v>
      </c>
      <c r="D29" s="22" t="s">
        <v>118</v>
      </c>
      <c r="E29" s="22" t="s">
        <v>146</v>
      </c>
      <c r="F29" s="22" t="s">
        <v>147</v>
      </c>
      <c r="G29" s="23" t="n">
        <v>82</v>
      </c>
      <c r="H29" s="22" t="s">
        <v>51</v>
      </c>
      <c r="I29" s="22" t="s">
        <v>148</v>
      </c>
      <c r="J29" s="22" t="s">
        <v>128</v>
      </c>
      <c r="K29" s="22" t="s">
        <v>54</v>
      </c>
    </row>
  </sheetData>
  <mergeCells count="2">
    <mergeCell ref="B2:K2"/>
    <mergeCell ref="B3:K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101 Meydenbauer · Comprehensive Project Takeoff&amp;R&amp;8 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9"/>
    <col collapsed="false" customWidth="true" hidden="false" outlineLevel="0" max="6" min="6" style="0" width="24"/>
    <col collapsed="false" customWidth="true" hidden="false" outlineLevel="0" max="7" min="7" style="0" width="19"/>
    <col collapsed="false" customWidth="true" hidden="false" outlineLevel="0" max="8" min="8" style="0" width="38"/>
    <col collapsed="false" customWidth="true" hidden="false" outlineLevel="0" max="9" min="9" style="0" width="58"/>
  </cols>
  <sheetData>
    <row r="2" customFormat="false" ht="33.75" hidden="false" customHeight="true" outlineLevel="0" collapsed="false">
      <c r="B2" s="17" t="s">
        <v>149</v>
      </c>
      <c r="C2" s="17"/>
      <c r="D2" s="17"/>
      <c r="E2" s="17"/>
      <c r="F2" s="17"/>
      <c r="G2" s="17"/>
      <c r="H2" s="17"/>
      <c r="I2" s="17"/>
    </row>
    <row r="3" customFormat="false" ht="31.5" hidden="false" customHeight="true" outlineLevel="0" collapsed="false">
      <c r="B3" s="18" t="s">
        <v>150</v>
      </c>
      <c r="C3" s="18"/>
      <c r="D3" s="18"/>
      <c r="E3" s="18"/>
      <c r="F3" s="18"/>
      <c r="G3" s="18"/>
      <c r="H3" s="18"/>
      <c r="I3" s="18"/>
    </row>
    <row r="5" customFormat="false" ht="30" hidden="false" customHeight="true" outlineLevel="0" collapsed="false">
      <c r="B5" s="19" t="s">
        <v>10</v>
      </c>
      <c r="C5" s="19" t="s">
        <v>151</v>
      </c>
      <c r="D5" s="19" t="s">
        <v>152</v>
      </c>
      <c r="E5" s="19" t="s">
        <v>153</v>
      </c>
      <c r="F5" s="19" t="s">
        <v>154</v>
      </c>
      <c r="G5" s="19" t="s">
        <v>155</v>
      </c>
      <c r="H5" s="19" t="s">
        <v>45</v>
      </c>
      <c r="I5" s="19" t="s">
        <v>156</v>
      </c>
    </row>
    <row r="6" customFormat="false" ht="33.75" hidden="false" customHeight="true" outlineLevel="0" collapsed="false">
      <c r="B6" s="20" t="s">
        <v>18</v>
      </c>
      <c r="C6" s="20" t="s">
        <v>157</v>
      </c>
      <c r="D6" s="20" t="s">
        <v>158</v>
      </c>
      <c r="E6" s="20" t="n">
        <v>4</v>
      </c>
      <c r="F6" s="20" t="s">
        <v>159</v>
      </c>
      <c r="G6" s="21" t="n">
        <v>45.432263</v>
      </c>
      <c r="H6" s="20" t="s">
        <v>160</v>
      </c>
      <c r="I6" s="20" t="s">
        <v>161</v>
      </c>
    </row>
    <row r="7" customFormat="false" ht="33.75" hidden="false" customHeight="true" outlineLevel="0" collapsed="false">
      <c r="B7" s="22" t="s">
        <v>18</v>
      </c>
      <c r="C7" s="22" t="s">
        <v>162</v>
      </c>
      <c r="D7" s="22" t="s">
        <v>158</v>
      </c>
      <c r="E7" s="22" t="n">
        <v>3</v>
      </c>
      <c r="F7" s="22" t="s">
        <v>163</v>
      </c>
      <c r="G7" s="23" t="n">
        <v>5.08999</v>
      </c>
      <c r="H7" s="22" t="s">
        <v>160</v>
      </c>
      <c r="I7" s="22" t="s">
        <v>161</v>
      </c>
    </row>
    <row r="8" customFormat="false" ht="33.75" hidden="false" customHeight="true" outlineLevel="0" collapsed="false">
      <c r="B8" s="20" t="s">
        <v>18</v>
      </c>
      <c r="C8" s="20" t="s">
        <v>164</v>
      </c>
      <c r="D8" s="20" t="s">
        <v>158</v>
      </c>
      <c r="E8" s="20" t="n">
        <v>3</v>
      </c>
      <c r="F8" s="20" t="s">
        <v>165</v>
      </c>
      <c r="G8" s="21" t="n">
        <v>4.161407</v>
      </c>
      <c r="H8" s="20" t="s">
        <v>160</v>
      </c>
      <c r="I8" s="20" t="s">
        <v>161</v>
      </c>
    </row>
    <row r="9" customFormat="false" ht="33.75" hidden="false" customHeight="true" outlineLevel="0" collapsed="false">
      <c r="B9" s="22" t="s">
        <v>18</v>
      </c>
      <c r="C9" s="22" t="s">
        <v>166</v>
      </c>
      <c r="D9" s="22" t="s">
        <v>158</v>
      </c>
      <c r="E9" s="22" t="n">
        <v>3</v>
      </c>
      <c r="F9" s="22" t="s">
        <v>167</v>
      </c>
      <c r="G9" s="23" t="n">
        <v>1.019588</v>
      </c>
      <c r="H9" s="22" t="s">
        <v>160</v>
      </c>
      <c r="I9" s="22" t="s">
        <v>161</v>
      </c>
    </row>
    <row r="10" customFormat="false" ht="33.75" hidden="false" customHeight="true" outlineLevel="0" collapsed="false">
      <c r="B10" s="20" t="s">
        <v>18</v>
      </c>
      <c r="C10" s="20" t="s">
        <v>168</v>
      </c>
      <c r="D10" s="20" t="s">
        <v>158</v>
      </c>
      <c r="E10" s="20" t="n">
        <v>2</v>
      </c>
      <c r="F10" s="20" t="s">
        <v>169</v>
      </c>
      <c r="G10" s="21" t="n">
        <v>11.920204</v>
      </c>
      <c r="H10" s="20" t="s">
        <v>160</v>
      </c>
      <c r="I10" s="20" t="s">
        <v>161</v>
      </c>
    </row>
    <row r="11" customFormat="false" ht="33.75" hidden="false" customHeight="true" outlineLevel="0" collapsed="false">
      <c r="B11" s="22" t="s">
        <v>18</v>
      </c>
      <c r="C11" s="22" t="s">
        <v>170</v>
      </c>
      <c r="D11" s="22" t="s">
        <v>158</v>
      </c>
      <c r="E11" s="22" t="n">
        <v>2</v>
      </c>
      <c r="F11" s="22" t="s">
        <v>171</v>
      </c>
      <c r="G11" s="23" t="n">
        <v>3.462145</v>
      </c>
      <c r="H11" s="22" t="s">
        <v>160</v>
      </c>
      <c r="I11" s="22" t="s">
        <v>161</v>
      </c>
    </row>
    <row r="12" customFormat="false" ht="33.75" hidden="false" customHeight="true" outlineLevel="0" collapsed="false">
      <c r="B12" s="20" t="s">
        <v>18</v>
      </c>
      <c r="C12" s="20" t="s">
        <v>172</v>
      </c>
      <c r="D12" s="20" t="s">
        <v>158</v>
      </c>
      <c r="E12" s="20" t="n">
        <v>6</v>
      </c>
      <c r="F12" s="20" t="s">
        <v>173</v>
      </c>
      <c r="G12" s="21" t="n">
        <v>1.500325</v>
      </c>
      <c r="H12" s="20" t="s">
        <v>160</v>
      </c>
      <c r="I12" s="20" t="s">
        <v>161</v>
      </c>
    </row>
    <row r="13" customFormat="false" ht="33.75" hidden="false" customHeight="true" outlineLevel="0" collapsed="false">
      <c r="B13" s="22" t="s">
        <v>18</v>
      </c>
      <c r="C13" s="22" t="s">
        <v>174</v>
      </c>
      <c r="D13" s="22" t="s">
        <v>175</v>
      </c>
      <c r="E13" s="22" t="n">
        <v>4</v>
      </c>
      <c r="F13" s="22" t="s">
        <v>176</v>
      </c>
      <c r="G13" s="23" t="n">
        <v>2.230471</v>
      </c>
      <c r="H13" s="22" t="s">
        <v>160</v>
      </c>
      <c r="I13" s="22" t="s">
        <v>161</v>
      </c>
    </row>
    <row r="14" customFormat="false" ht="33.75" hidden="false" customHeight="true" outlineLevel="0" collapsed="false">
      <c r="B14" s="20" t="s">
        <v>18</v>
      </c>
      <c r="C14" s="20" t="s">
        <v>177</v>
      </c>
      <c r="D14" s="20" t="s">
        <v>178</v>
      </c>
      <c r="E14" s="20" t="n">
        <v>6</v>
      </c>
      <c r="F14" s="20" t="s">
        <v>179</v>
      </c>
      <c r="G14" s="21" t="n">
        <v>18.504</v>
      </c>
      <c r="H14" s="20" t="s">
        <v>160</v>
      </c>
      <c r="I14" s="20" t="s">
        <v>161</v>
      </c>
    </row>
    <row r="15" customFormat="false" ht="33.75" hidden="false" customHeight="true" outlineLevel="0" collapsed="false">
      <c r="B15" s="22" t="s">
        <v>19</v>
      </c>
      <c r="C15" s="22" t="s">
        <v>157</v>
      </c>
      <c r="D15" s="22" t="s">
        <v>158</v>
      </c>
      <c r="E15" s="22" t="n">
        <v>4</v>
      </c>
      <c r="F15" s="22" t="s">
        <v>159</v>
      </c>
      <c r="G15" s="23" t="n">
        <v>48.434184</v>
      </c>
      <c r="H15" s="22" t="s">
        <v>160</v>
      </c>
      <c r="I15" s="22" t="s">
        <v>161</v>
      </c>
    </row>
    <row r="16" customFormat="false" ht="33.75" hidden="false" customHeight="true" outlineLevel="0" collapsed="false">
      <c r="B16" s="20" t="s">
        <v>19</v>
      </c>
      <c r="C16" s="20" t="s">
        <v>162</v>
      </c>
      <c r="D16" s="20" t="s">
        <v>158</v>
      </c>
      <c r="E16" s="20" t="n">
        <v>3</v>
      </c>
      <c r="F16" s="20" t="s">
        <v>163</v>
      </c>
      <c r="G16" s="21" t="n">
        <v>4.756497</v>
      </c>
      <c r="H16" s="20" t="s">
        <v>160</v>
      </c>
      <c r="I16" s="20" t="s">
        <v>161</v>
      </c>
    </row>
    <row r="17" customFormat="false" ht="33.75" hidden="false" customHeight="true" outlineLevel="0" collapsed="false">
      <c r="B17" s="22" t="s">
        <v>19</v>
      </c>
      <c r="C17" s="22" t="s">
        <v>164</v>
      </c>
      <c r="D17" s="22" t="s">
        <v>158</v>
      </c>
      <c r="E17" s="22" t="n">
        <v>3</v>
      </c>
      <c r="F17" s="22" t="s">
        <v>165</v>
      </c>
      <c r="G17" s="23" t="n">
        <v>5.127821</v>
      </c>
      <c r="H17" s="22" t="s">
        <v>160</v>
      </c>
      <c r="I17" s="22" t="s">
        <v>161</v>
      </c>
    </row>
    <row r="18" customFormat="false" ht="33.75" hidden="false" customHeight="true" outlineLevel="0" collapsed="false">
      <c r="B18" s="20" t="s">
        <v>19</v>
      </c>
      <c r="C18" s="20" t="s">
        <v>166</v>
      </c>
      <c r="D18" s="20" t="s">
        <v>158</v>
      </c>
      <c r="E18" s="20" t="n">
        <v>3</v>
      </c>
      <c r="F18" s="20" t="s">
        <v>167</v>
      </c>
      <c r="G18" s="21" t="n">
        <v>1.151082</v>
      </c>
      <c r="H18" s="20" t="s">
        <v>160</v>
      </c>
      <c r="I18" s="20" t="s">
        <v>161</v>
      </c>
    </row>
    <row r="19" customFormat="false" ht="33.75" hidden="false" customHeight="true" outlineLevel="0" collapsed="false">
      <c r="B19" s="22" t="s">
        <v>19</v>
      </c>
      <c r="C19" s="22" t="s">
        <v>180</v>
      </c>
      <c r="D19" s="22" t="s">
        <v>158</v>
      </c>
      <c r="E19" s="22" t="n">
        <v>3</v>
      </c>
      <c r="F19" s="22" t="s">
        <v>181</v>
      </c>
      <c r="G19" s="23" t="n">
        <v>1.333264</v>
      </c>
      <c r="H19" s="22" t="s">
        <v>160</v>
      </c>
      <c r="I19" s="22" t="s">
        <v>161</v>
      </c>
    </row>
    <row r="20" customFormat="false" ht="33.75" hidden="false" customHeight="true" outlineLevel="0" collapsed="false">
      <c r="B20" s="20" t="s">
        <v>19</v>
      </c>
      <c r="C20" s="20" t="s">
        <v>168</v>
      </c>
      <c r="D20" s="20" t="s">
        <v>158</v>
      </c>
      <c r="E20" s="20" t="n">
        <v>2</v>
      </c>
      <c r="F20" s="20" t="s">
        <v>169</v>
      </c>
      <c r="G20" s="21" t="n">
        <v>7.265542</v>
      </c>
      <c r="H20" s="20" t="s">
        <v>160</v>
      </c>
      <c r="I20" s="20" t="s">
        <v>161</v>
      </c>
    </row>
    <row r="21" customFormat="false" ht="33.75" hidden="false" customHeight="true" outlineLevel="0" collapsed="false">
      <c r="B21" s="22" t="s">
        <v>19</v>
      </c>
      <c r="C21" s="22" t="s">
        <v>170</v>
      </c>
      <c r="D21" s="22" t="s">
        <v>158</v>
      </c>
      <c r="E21" s="22" t="n">
        <v>2</v>
      </c>
      <c r="F21" s="22" t="s">
        <v>171</v>
      </c>
      <c r="G21" s="23" t="n">
        <v>6.493676</v>
      </c>
      <c r="H21" s="22" t="s">
        <v>160</v>
      </c>
      <c r="I21" s="22" t="s">
        <v>161</v>
      </c>
    </row>
    <row r="22" customFormat="false" ht="33.75" hidden="false" customHeight="true" outlineLevel="0" collapsed="false">
      <c r="B22" s="20" t="s">
        <v>19</v>
      </c>
      <c r="C22" s="20" t="s">
        <v>172</v>
      </c>
      <c r="D22" s="20" t="s">
        <v>158</v>
      </c>
      <c r="E22" s="20" t="n">
        <v>6</v>
      </c>
      <c r="F22" s="20" t="s">
        <v>173</v>
      </c>
      <c r="G22" s="21" t="n">
        <v>1.500325</v>
      </c>
      <c r="H22" s="20" t="s">
        <v>160</v>
      </c>
      <c r="I22" s="20" t="s">
        <v>161</v>
      </c>
    </row>
    <row r="23" customFormat="false" ht="33.75" hidden="false" customHeight="true" outlineLevel="0" collapsed="false">
      <c r="B23" s="22" t="s">
        <v>19</v>
      </c>
      <c r="C23" s="22" t="s">
        <v>177</v>
      </c>
      <c r="D23" s="22" t="s">
        <v>178</v>
      </c>
      <c r="E23" s="22" t="n">
        <v>6</v>
      </c>
      <c r="F23" s="22" t="s">
        <v>179</v>
      </c>
      <c r="G23" s="23" t="n">
        <v>18.504</v>
      </c>
      <c r="H23" s="22" t="s">
        <v>160</v>
      </c>
      <c r="I23" s="22" t="s">
        <v>161</v>
      </c>
    </row>
    <row r="24" customFormat="false" ht="33.75" hidden="false" customHeight="true" outlineLevel="0" collapsed="false">
      <c r="B24" s="20" t="s">
        <v>20</v>
      </c>
      <c r="C24" s="20" t="s">
        <v>157</v>
      </c>
      <c r="D24" s="20" t="s">
        <v>158</v>
      </c>
      <c r="E24" s="20" t="n">
        <v>4</v>
      </c>
      <c r="F24" s="20" t="s">
        <v>159</v>
      </c>
      <c r="G24" s="21" t="n">
        <v>31.590094</v>
      </c>
      <c r="H24" s="20" t="s">
        <v>160</v>
      </c>
      <c r="I24" s="20" t="s">
        <v>161</v>
      </c>
    </row>
    <row r="25" customFormat="false" ht="33.75" hidden="false" customHeight="true" outlineLevel="0" collapsed="false">
      <c r="B25" s="22" t="s">
        <v>20</v>
      </c>
      <c r="C25" s="22" t="s">
        <v>182</v>
      </c>
      <c r="D25" s="22" t="s">
        <v>158</v>
      </c>
      <c r="E25" s="22" t="n">
        <v>4</v>
      </c>
      <c r="F25" s="22" t="s">
        <v>183</v>
      </c>
      <c r="G25" s="23" t="n">
        <v>30.683333</v>
      </c>
      <c r="H25" s="22" t="s">
        <v>160</v>
      </c>
      <c r="I25" s="22" t="s">
        <v>161</v>
      </c>
    </row>
    <row r="26" customFormat="false" ht="33.75" hidden="false" customHeight="true" outlineLevel="0" collapsed="false">
      <c r="B26" s="20" t="s">
        <v>20</v>
      </c>
      <c r="C26" s="20" t="s">
        <v>162</v>
      </c>
      <c r="D26" s="20" t="s">
        <v>158</v>
      </c>
      <c r="E26" s="20" t="n">
        <v>3</v>
      </c>
      <c r="F26" s="20" t="s">
        <v>163</v>
      </c>
      <c r="G26" s="21" t="n">
        <v>5.798594</v>
      </c>
      <c r="H26" s="20" t="s">
        <v>160</v>
      </c>
      <c r="I26" s="20" t="s">
        <v>161</v>
      </c>
    </row>
    <row r="27" customFormat="false" ht="33.75" hidden="false" customHeight="true" outlineLevel="0" collapsed="false">
      <c r="B27" s="22" t="s">
        <v>20</v>
      </c>
      <c r="C27" s="22" t="s">
        <v>164</v>
      </c>
      <c r="D27" s="22" t="s">
        <v>158</v>
      </c>
      <c r="E27" s="22" t="n">
        <v>3</v>
      </c>
      <c r="F27" s="22" t="s">
        <v>165</v>
      </c>
      <c r="G27" s="23" t="n">
        <v>7.754048</v>
      </c>
      <c r="H27" s="22" t="s">
        <v>160</v>
      </c>
      <c r="I27" s="22" t="s">
        <v>161</v>
      </c>
    </row>
    <row r="28" customFormat="false" ht="33.75" hidden="false" customHeight="true" outlineLevel="0" collapsed="false">
      <c r="B28" s="20" t="s">
        <v>20</v>
      </c>
      <c r="C28" s="20" t="s">
        <v>166</v>
      </c>
      <c r="D28" s="20" t="s">
        <v>158</v>
      </c>
      <c r="E28" s="20" t="n">
        <v>3</v>
      </c>
      <c r="F28" s="20" t="s">
        <v>167</v>
      </c>
      <c r="G28" s="21" t="n">
        <v>0.337052</v>
      </c>
      <c r="H28" s="20" t="s">
        <v>160</v>
      </c>
      <c r="I28" s="20" t="s">
        <v>161</v>
      </c>
    </row>
    <row r="29" customFormat="false" ht="33.75" hidden="false" customHeight="true" outlineLevel="0" collapsed="false">
      <c r="B29" s="22" t="s">
        <v>20</v>
      </c>
      <c r="C29" s="22" t="s">
        <v>168</v>
      </c>
      <c r="D29" s="22" t="s">
        <v>158</v>
      </c>
      <c r="E29" s="22" t="n">
        <v>2</v>
      </c>
      <c r="F29" s="22" t="s">
        <v>169</v>
      </c>
      <c r="G29" s="23" t="n">
        <v>6.50593</v>
      </c>
      <c r="H29" s="22" t="s">
        <v>160</v>
      </c>
      <c r="I29" s="22" t="s">
        <v>161</v>
      </c>
    </row>
    <row r="30" customFormat="false" ht="33.75" hidden="false" customHeight="true" outlineLevel="0" collapsed="false">
      <c r="B30" s="20" t="s">
        <v>20</v>
      </c>
      <c r="C30" s="20" t="s">
        <v>170</v>
      </c>
      <c r="D30" s="20" t="s">
        <v>158</v>
      </c>
      <c r="E30" s="20" t="n">
        <v>2</v>
      </c>
      <c r="F30" s="20" t="s">
        <v>171</v>
      </c>
      <c r="G30" s="21" t="n">
        <v>9.131014</v>
      </c>
      <c r="H30" s="20" t="s">
        <v>160</v>
      </c>
      <c r="I30" s="20" t="s">
        <v>161</v>
      </c>
    </row>
    <row r="31" customFormat="false" ht="33.75" hidden="false" customHeight="true" outlineLevel="0" collapsed="false">
      <c r="B31" s="22" t="s">
        <v>20</v>
      </c>
      <c r="C31" s="22" t="s">
        <v>172</v>
      </c>
      <c r="D31" s="22" t="s">
        <v>158</v>
      </c>
      <c r="E31" s="22" t="n">
        <v>6</v>
      </c>
      <c r="F31" s="22" t="s">
        <v>173</v>
      </c>
      <c r="G31" s="23" t="n">
        <v>1.500325</v>
      </c>
      <c r="H31" s="22" t="s">
        <v>160</v>
      </c>
      <c r="I31" s="22" t="s">
        <v>161</v>
      </c>
    </row>
    <row r="32" customFormat="false" ht="33.75" hidden="false" customHeight="true" outlineLevel="0" collapsed="false">
      <c r="B32" s="20" t="s">
        <v>20</v>
      </c>
      <c r="C32" s="20" t="s">
        <v>177</v>
      </c>
      <c r="D32" s="20" t="s">
        <v>178</v>
      </c>
      <c r="E32" s="20" t="n">
        <v>6</v>
      </c>
      <c r="F32" s="20" t="s">
        <v>179</v>
      </c>
      <c r="G32" s="21" t="n">
        <v>18.504</v>
      </c>
      <c r="H32" s="20" t="s">
        <v>160</v>
      </c>
      <c r="I32" s="20" t="s">
        <v>161</v>
      </c>
    </row>
    <row r="33" customFormat="false" ht="33.75" hidden="false" customHeight="true" outlineLevel="0" collapsed="false">
      <c r="B33" s="22" t="s">
        <v>21</v>
      </c>
      <c r="C33" s="22" t="s">
        <v>157</v>
      </c>
      <c r="D33" s="22" t="s">
        <v>158</v>
      </c>
      <c r="E33" s="22" t="n">
        <v>4</v>
      </c>
      <c r="F33" s="22" t="s">
        <v>159</v>
      </c>
      <c r="G33" s="23" t="n">
        <v>43.513205</v>
      </c>
      <c r="H33" s="22" t="s">
        <v>160</v>
      </c>
      <c r="I33" s="22" t="s">
        <v>161</v>
      </c>
    </row>
    <row r="34" customFormat="false" ht="33.75" hidden="false" customHeight="true" outlineLevel="0" collapsed="false">
      <c r="B34" s="20" t="s">
        <v>21</v>
      </c>
      <c r="C34" s="20" t="s">
        <v>162</v>
      </c>
      <c r="D34" s="20" t="s">
        <v>158</v>
      </c>
      <c r="E34" s="20" t="n">
        <v>3</v>
      </c>
      <c r="F34" s="20" t="s">
        <v>163</v>
      </c>
      <c r="G34" s="21" t="n">
        <v>3.479279</v>
      </c>
      <c r="H34" s="20" t="s">
        <v>160</v>
      </c>
      <c r="I34" s="20" t="s">
        <v>161</v>
      </c>
    </row>
    <row r="35" customFormat="false" ht="33.75" hidden="false" customHeight="true" outlineLevel="0" collapsed="false">
      <c r="B35" s="22" t="s">
        <v>21</v>
      </c>
      <c r="C35" s="22" t="s">
        <v>164</v>
      </c>
      <c r="D35" s="22" t="s">
        <v>158</v>
      </c>
      <c r="E35" s="22" t="n">
        <v>3</v>
      </c>
      <c r="F35" s="22" t="s">
        <v>165</v>
      </c>
      <c r="G35" s="23" t="n">
        <v>2.27873</v>
      </c>
      <c r="H35" s="22" t="s">
        <v>160</v>
      </c>
      <c r="I35" s="22" t="s">
        <v>161</v>
      </c>
    </row>
    <row r="36" customFormat="false" ht="33.75" hidden="false" customHeight="true" outlineLevel="0" collapsed="false">
      <c r="B36" s="20" t="s">
        <v>21</v>
      </c>
      <c r="C36" s="20" t="s">
        <v>166</v>
      </c>
      <c r="D36" s="20" t="s">
        <v>158</v>
      </c>
      <c r="E36" s="20" t="n">
        <v>3</v>
      </c>
      <c r="F36" s="20" t="s">
        <v>167</v>
      </c>
      <c r="G36" s="21" t="n">
        <v>10.131365</v>
      </c>
      <c r="H36" s="20" t="s">
        <v>160</v>
      </c>
      <c r="I36" s="20" t="s">
        <v>161</v>
      </c>
    </row>
    <row r="37" customFormat="false" ht="33.75" hidden="false" customHeight="true" outlineLevel="0" collapsed="false">
      <c r="B37" s="22" t="s">
        <v>21</v>
      </c>
      <c r="C37" s="22" t="s">
        <v>168</v>
      </c>
      <c r="D37" s="22" t="s">
        <v>158</v>
      </c>
      <c r="E37" s="22" t="n">
        <v>2</v>
      </c>
      <c r="F37" s="22" t="s">
        <v>169</v>
      </c>
      <c r="G37" s="23" t="n">
        <v>5.184572</v>
      </c>
      <c r="H37" s="22" t="s">
        <v>160</v>
      </c>
      <c r="I37" s="22" t="s">
        <v>161</v>
      </c>
    </row>
    <row r="38" customFormat="false" ht="33.75" hidden="false" customHeight="true" outlineLevel="0" collapsed="false">
      <c r="B38" s="20" t="s">
        <v>21</v>
      </c>
      <c r="C38" s="20" t="s">
        <v>170</v>
      </c>
      <c r="D38" s="20" t="s">
        <v>158</v>
      </c>
      <c r="E38" s="20" t="n">
        <v>2</v>
      </c>
      <c r="F38" s="20" t="s">
        <v>171</v>
      </c>
      <c r="G38" s="21" t="n">
        <v>3.614134</v>
      </c>
      <c r="H38" s="20" t="s">
        <v>160</v>
      </c>
      <c r="I38" s="20" t="s">
        <v>161</v>
      </c>
    </row>
    <row r="39" customFormat="false" ht="33.75" hidden="false" customHeight="true" outlineLevel="0" collapsed="false">
      <c r="B39" s="22" t="s">
        <v>21</v>
      </c>
      <c r="C39" s="22" t="s">
        <v>172</v>
      </c>
      <c r="D39" s="22" t="s">
        <v>158</v>
      </c>
      <c r="E39" s="22" t="n">
        <v>6</v>
      </c>
      <c r="F39" s="22" t="s">
        <v>173</v>
      </c>
      <c r="G39" s="23" t="n">
        <v>1.500325</v>
      </c>
      <c r="H39" s="22" t="s">
        <v>160</v>
      </c>
      <c r="I39" s="22" t="s">
        <v>161</v>
      </c>
    </row>
    <row r="40" customFormat="false" ht="33.75" hidden="false" customHeight="true" outlineLevel="0" collapsed="false">
      <c r="B40" s="20" t="s">
        <v>21</v>
      </c>
      <c r="C40" s="20" t="s">
        <v>174</v>
      </c>
      <c r="D40" s="20" t="s">
        <v>175</v>
      </c>
      <c r="E40" s="20" t="n">
        <v>4</v>
      </c>
      <c r="F40" s="20" t="s">
        <v>176</v>
      </c>
      <c r="G40" s="21" t="n">
        <v>3.903528</v>
      </c>
      <c r="H40" s="20" t="s">
        <v>160</v>
      </c>
      <c r="I40" s="20" t="s">
        <v>161</v>
      </c>
    </row>
    <row r="41" customFormat="false" ht="33.75" hidden="false" customHeight="true" outlineLevel="0" collapsed="false">
      <c r="B41" s="22" t="s">
        <v>21</v>
      </c>
      <c r="C41" s="22" t="s">
        <v>177</v>
      </c>
      <c r="D41" s="22" t="s">
        <v>178</v>
      </c>
      <c r="E41" s="22" t="n">
        <v>6</v>
      </c>
      <c r="F41" s="22" t="s">
        <v>179</v>
      </c>
      <c r="G41" s="23" t="n">
        <v>18.504</v>
      </c>
      <c r="H41" s="22" t="s">
        <v>160</v>
      </c>
      <c r="I41" s="22" t="s">
        <v>161</v>
      </c>
    </row>
    <row r="43" customFormat="false" ht="15" hidden="false" customHeight="false" outlineLevel="0" collapsed="false">
      <c r="B43" s="13" t="s">
        <v>184</v>
      </c>
    </row>
    <row r="44" customFormat="false" ht="15" hidden="false" customHeight="false" outlineLevel="0" collapsed="false">
      <c r="B44" s="0" t="s">
        <v>185</v>
      </c>
      <c r="G44" s="24" t="n">
        <v>496.8256</v>
      </c>
    </row>
    <row r="45" customFormat="false" ht="15" hidden="false" customHeight="false" outlineLevel="0" collapsed="false">
      <c r="B45" s="0" t="s">
        <v>186</v>
      </c>
      <c r="G45" s="24" t="n">
        <v>700</v>
      </c>
    </row>
    <row r="46" customFormat="false" ht="37.5" hidden="false" customHeight="true" outlineLevel="0" collapsed="false">
      <c r="B46" s="0" t="s">
        <v>187</v>
      </c>
      <c r="C46" s="25" t="s">
        <v>188</v>
      </c>
      <c r="D46" s="25"/>
      <c r="E46" s="25"/>
      <c r="F46" s="25"/>
      <c r="G46" s="25"/>
      <c r="H46" s="25"/>
    </row>
  </sheetData>
  <mergeCells count="3">
    <mergeCell ref="B2:I2"/>
    <mergeCell ref="B3:I3"/>
    <mergeCell ref="C46:H46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101 Meydenbauer · Comprehensive Project Takeoff&amp;R&amp;8 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25"/>
    <col collapsed="false" customWidth="true" hidden="false" outlineLevel="0" max="6" min="6" style="0" width="12"/>
    <col collapsed="false" customWidth="true" hidden="false" outlineLevel="0" max="7" min="7" style="0" width="27"/>
    <col collapsed="false" customWidth="true" hidden="false" outlineLevel="0" max="8" min="8" style="0" width="58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23"/>
    <col collapsed="false" customWidth="true" hidden="false" outlineLevel="0" max="12" min="12" style="0" width="35"/>
    <col collapsed="false" customWidth="true" hidden="false" outlineLevel="0" max="13" min="13" style="0" width="58"/>
  </cols>
  <sheetData>
    <row r="2" customFormat="false" ht="33.75" hidden="false" customHeight="true" outlineLevel="0" collapsed="false">
      <c r="B2" s="17" t="s">
        <v>189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customFormat="false" ht="31.5" hidden="false" customHeight="true" outlineLevel="0" collapsed="false">
      <c r="B3" s="18" t="s">
        <v>190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</row>
    <row r="5" customFormat="false" ht="30" hidden="false" customHeight="true" outlineLevel="0" collapsed="false">
      <c r="B5" s="19" t="s">
        <v>191</v>
      </c>
      <c r="C5" s="19" t="s">
        <v>192</v>
      </c>
      <c r="D5" s="19" t="s">
        <v>193</v>
      </c>
      <c r="E5" s="19" t="s">
        <v>44</v>
      </c>
      <c r="F5" s="19" t="s">
        <v>10</v>
      </c>
      <c r="G5" s="19" t="s">
        <v>39</v>
      </c>
      <c r="H5" s="19" t="s">
        <v>194</v>
      </c>
      <c r="I5" s="19" t="s">
        <v>42</v>
      </c>
      <c r="J5" s="19" t="s">
        <v>43</v>
      </c>
      <c r="K5" s="19" t="s">
        <v>195</v>
      </c>
      <c r="L5" s="19" t="s">
        <v>45</v>
      </c>
      <c r="M5" s="19" t="s">
        <v>196</v>
      </c>
    </row>
    <row r="6" customFormat="false" ht="33.75" hidden="false" customHeight="true" outlineLevel="0" collapsed="false">
      <c r="B6" s="26" t="s">
        <v>197</v>
      </c>
      <c r="C6" s="26" t="s">
        <v>198</v>
      </c>
      <c r="D6" s="26" t="s">
        <v>199</v>
      </c>
      <c r="E6" s="26" t="s">
        <v>200</v>
      </c>
      <c r="F6" s="26" t="s">
        <v>18</v>
      </c>
      <c r="G6" s="26" t="s">
        <v>201</v>
      </c>
      <c r="H6" s="26" t="s">
        <v>202</v>
      </c>
      <c r="I6" s="27" t="n">
        <f aca="false">SUMIFS('DWV Model'!$G$6:$G$41,'DWV Model'!$B$6:$B$41,$F6,'DWV Model'!$D$6:$D$41,"New ABS",'DWV Model'!$E$6:$E$41,2)</f>
        <v>15.382349</v>
      </c>
      <c r="J6" s="26" t="s">
        <v>203</v>
      </c>
      <c r="K6" s="26" t="s">
        <v>204</v>
      </c>
      <c r="L6" s="26" t="s">
        <v>205</v>
      </c>
      <c r="M6" s="26" t="s">
        <v>206</v>
      </c>
    </row>
    <row r="7" customFormat="false" ht="33.75" hidden="false" customHeight="true" outlineLevel="0" collapsed="false">
      <c r="B7" s="26" t="s">
        <v>207</v>
      </c>
      <c r="C7" s="26" t="s">
        <v>198</v>
      </c>
      <c r="D7" s="26" t="s">
        <v>199</v>
      </c>
      <c r="E7" s="26" t="s">
        <v>200</v>
      </c>
      <c r="F7" s="26" t="s">
        <v>18</v>
      </c>
      <c r="G7" s="26" t="s">
        <v>201</v>
      </c>
      <c r="H7" s="26" t="s">
        <v>208</v>
      </c>
      <c r="I7" s="27" t="n">
        <f aca="false">SUMIFS('DWV Model'!$G$6:$G$41,'DWV Model'!$B$6:$B$41,$F7,'DWV Model'!$D$6:$D$41,"New ABS",'DWV Model'!$E$6:$E$41,3)</f>
        <v>10.270985</v>
      </c>
      <c r="J7" s="26" t="s">
        <v>203</v>
      </c>
      <c r="K7" s="26" t="s">
        <v>204</v>
      </c>
      <c r="L7" s="26" t="s">
        <v>205</v>
      </c>
      <c r="M7" s="26" t="s">
        <v>206</v>
      </c>
    </row>
    <row r="8" customFormat="false" ht="33.75" hidden="false" customHeight="true" outlineLevel="0" collapsed="false">
      <c r="B8" s="26" t="s">
        <v>209</v>
      </c>
      <c r="C8" s="26" t="s">
        <v>198</v>
      </c>
      <c r="D8" s="26" t="s">
        <v>199</v>
      </c>
      <c r="E8" s="26" t="s">
        <v>200</v>
      </c>
      <c r="F8" s="26" t="s">
        <v>18</v>
      </c>
      <c r="G8" s="26" t="s">
        <v>201</v>
      </c>
      <c r="H8" s="26" t="s">
        <v>210</v>
      </c>
      <c r="I8" s="27" t="n">
        <f aca="false">SUMIFS('DWV Model'!$G$6:$G$41,'DWV Model'!$B$6:$B$41,$F8,'DWV Model'!$D$6:$D$41,"New ABS",'DWV Model'!$E$6:$E$41,4)</f>
        <v>45.432263</v>
      </c>
      <c r="J8" s="26" t="s">
        <v>203</v>
      </c>
      <c r="K8" s="26" t="s">
        <v>204</v>
      </c>
      <c r="L8" s="26" t="s">
        <v>205</v>
      </c>
      <c r="M8" s="26" t="s">
        <v>206</v>
      </c>
    </row>
    <row r="9" customFormat="false" ht="33.75" hidden="false" customHeight="true" outlineLevel="0" collapsed="false">
      <c r="B9" s="26" t="s">
        <v>211</v>
      </c>
      <c r="C9" s="26" t="s">
        <v>198</v>
      </c>
      <c r="D9" s="26" t="s">
        <v>199</v>
      </c>
      <c r="E9" s="26" t="s">
        <v>200</v>
      </c>
      <c r="F9" s="26" t="s">
        <v>18</v>
      </c>
      <c r="G9" s="26" t="s">
        <v>201</v>
      </c>
      <c r="H9" s="26" t="s">
        <v>212</v>
      </c>
      <c r="I9" s="27" t="n">
        <f aca="false">SUMIFS('DWV Model'!$G$6:$G$41,'DWV Model'!$B$6:$B$41,$F9,'DWV Model'!$D$6:$D$41,"New ABS",'DWV Model'!$E$6:$E$41,6)</f>
        <v>1.500325</v>
      </c>
      <c r="J9" s="26" t="s">
        <v>203</v>
      </c>
      <c r="K9" s="26" t="s">
        <v>204</v>
      </c>
      <c r="L9" s="26" t="s">
        <v>205</v>
      </c>
      <c r="M9" s="26" t="s">
        <v>206</v>
      </c>
    </row>
    <row r="10" customFormat="false" ht="33.75" hidden="false" customHeight="true" outlineLevel="0" collapsed="false">
      <c r="B10" s="20" t="s">
        <v>213</v>
      </c>
      <c r="C10" s="20" t="s">
        <v>198</v>
      </c>
      <c r="D10" s="20" t="s">
        <v>214</v>
      </c>
      <c r="E10" s="20" t="s">
        <v>215</v>
      </c>
      <c r="F10" s="20" t="s">
        <v>18</v>
      </c>
      <c r="G10" s="20" t="s">
        <v>216</v>
      </c>
      <c r="H10" s="20" t="s">
        <v>217</v>
      </c>
      <c r="I10" s="21" t="n">
        <v>1</v>
      </c>
      <c r="J10" s="20" t="s">
        <v>218</v>
      </c>
      <c r="K10" s="20" t="s">
        <v>219</v>
      </c>
      <c r="L10" s="20" t="s">
        <v>205</v>
      </c>
      <c r="M10" s="20" t="s">
        <v>220</v>
      </c>
    </row>
    <row r="11" customFormat="false" ht="33.75" hidden="false" customHeight="true" outlineLevel="0" collapsed="false">
      <c r="B11" s="22" t="s">
        <v>221</v>
      </c>
      <c r="C11" s="22" t="s">
        <v>198</v>
      </c>
      <c r="D11" s="22" t="s">
        <v>214</v>
      </c>
      <c r="E11" s="22" t="s">
        <v>215</v>
      </c>
      <c r="F11" s="22" t="s">
        <v>18</v>
      </c>
      <c r="G11" s="22" t="s">
        <v>216</v>
      </c>
      <c r="H11" s="22" t="s">
        <v>222</v>
      </c>
      <c r="I11" s="23" t="n">
        <v>2</v>
      </c>
      <c r="J11" s="22" t="s">
        <v>218</v>
      </c>
      <c r="K11" s="22" t="s">
        <v>219</v>
      </c>
      <c r="L11" s="22" t="s">
        <v>205</v>
      </c>
      <c r="M11" s="22" t="s">
        <v>223</v>
      </c>
    </row>
    <row r="12" customFormat="false" ht="33.75" hidden="false" customHeight="true" outlineLevel="0" collapsed="false">
      <c r="B12" s="20" t="s">
        <v>224</v>
      </c>
      <c r="C12" s="20" t="s">
        <v>198</v>
      </c>
      <c r="D12" s="20" t="s">
        <v>214</v>
      </c>
      <c r="E12" s="20" t="s">
        <v>215</v>
      </c>
      <c r="F12" s="20" t="s">
        <v>18</v>
      </c>
      <c r="G12" s="20" t="s">
        <v>216</v>
      </c>
      <c r="H12" s="20" t="s">
        <v>225</v>
      </c>
      <c r="I12" s="21" t="n">
        <v>1</v>
      </c>
      <c r="J12" s="20" t="s">
        <v>218</v>
      </c>
      <c r="K12" s="20" t="s">
        <v>219</v>
      </c>
      <c r="L12" s="20" t="s">
        <v>205</v>
      </c>
      <c r="M12" s="20" t="s">
        <v>226</v>
      </c>
    </row>
    <row r="13" customFormat="false" ht="33.75" hidden="false" customHeight="true" outlineLevel="0" collapsed="false">
      <c r="B13" s="22" t="s">
        <v>227</v>
      </c>
      <c r="C13" s="22" t="s">
        <v>198</v>
      </c>
      <c r="D13" s="22" t="s">
        <v>214</v>
      </c>
      <c r="E13" s="22" t="s">
        <v>215</v>
      </c>
      <c r="F13" s="22" t="s">
        <v>18</v>
      </c>
      <c r="G13" s="22" t="s">
        <v>216</v>
      </c>
      <c r="H13" s="22" t="s">
        <v>228</v>
      </c>
      <c r="I13" s="23" t="n">
        <v>1</v>
      </c>
      <c r="J13" s="22" t="s">
        <v>218</v>
      </c>
      <c r="K13" s="22" t="s">
        <v>219</v>
      </c>
      <c r="L13" s="22" t="s">
        <v>205</v>
      </c>
      <c r="M13" s="22" t="s">
        <v>229</v>
      </c>
    </row>
    <row r="14" customFormat="false" ht="33.75" hidden="false" customHeight="true" outlineLevel="0" collapsed="false">
      <c r="B14" s="20" t="s">
        <v>230</v>
      </c>
      <c r="C14" s="20" t="s">
        <v>198</v>
      </c>
      <c r="D14" s="20" t="s">
        <v>214</v>
      </c>
      <c r="E14" s="20" t="s">
        <v>215</v>
      </c>
      <c r="F14" s="20" t="s">
        <v>18</v>
      </c>
      <c r="G14" s="20" t="s">
        <v>216</v>
      </c>
      <c r="H14" s="20" t="s">
        <v>231</v>
      </c>
      <c r="I14" s="21" t="n">
        <v>2</v>
      </c>
      <c r="J14" s="20" t="s">
        <v>218</v>
      </c>
      <c r="K14" s="20" t="s">
        <v>219</v>
      </c>
      <c r="L14" s="20" t="s">
        <v>205</v>
      </c>
      <c r="M14" s="20" t="s">
        <v>232</v>
      </c>
    </row>
    <row r="15" customFormat="false" ht="33.75" hidden="false" customHeight="true" outlineLevel="0" collapsed="false">
      <c r="B15" s="22" t="s">
        <v>233</v>
      </c>
      <c r="C15" s="22" t="s">
        <v>198</v>
      </c>
      <c r="D15" s="22" t="s">
        <v>214</v>
      </c>
      <c r="E15" s="22" t="s">
        <v>215</v>
      </c>
      <c r="F15" s="22" t="s">
        <v>18</v>
      </c>
      <c r="G15" s="22" t="s">
        <v>216</v>
      </c>
      <c r="H15" s="22" t="s">
        <v>234</v>
      </c>
      <c r="I15" s="23" t="n">
        <v>1</v>
      </c>
      <c r="J15" s="22" t="s">
        <v>218</v>
      </c>
      <c r="K15" s="22" t="s">
        <v>219</v>
      </c>
      <c r="L15" s="22" t="s">
        <v>205</v>
      </c>
      <c r="M15" s="22" t="s">
        <v>235</v>
      </c>
    </row>
    <row r="16" customFormat="false" ht="33.75" hidden="false" customHeight="true" outlineLevel="0" collapsed="false">
      <c r="B16" s="20" t="s">
        <v>236</v>
      </c>
      <c r="C16" s="20" t="s">
        <v>198</v>
      </c>
      <c r="D16" s="20" t="s">
        <v>214</v>
      </c>
      <c r="E16" s="20" t="s">
        <v>215</v>
      </c>
      <c r="F16" s="20" t="s">
        <v>18</v>
      </c>
      <c r="G16" s="20" t="s">
        <v>216</v>
      </c>
      <c r="H16" s="20" t="s">
        <v>237</v>
      </c>
      <c r="I16" s="21" t="n">
        <v>1</v>
      </c>
      <c r="J16" s="20" t="s">
        <v>218</v>
      </c>
      <c r="K16" s="20" t="s">
        <v>219</v>
      </c>
      <c r="L16" s="20" t="s">
        <v>205</v>
      </c>
      <c r="M16" s="20" t="s">
        <v>238</v>
      </c>
    </row>
    <row r="17" customFormat="false" ht="33.75" hidden="false" customHeight="true" outlineLevel="0" collapsed="false">
      <c r="B17" s="26" t="s">
        <v>239</v>
      </c>
      <c r="C17" s="26" t="s">
        <v>198</v>
      </c>
      <c r="D17" s="26" t="s">
        <v>199</v>
      </c>
      <c r="E17" s="26" t="s">
        <v>240</v>
      </c>
      <c r="F17" s="26" t="s">
        <v>18</v>
      </c>
      <c r="G17" s="26" t="s">
        <v>241</v>
      </c>
      <c r="H17" s="26" t="s">
        <v>242</v>
      </c>
      <c r="I17" s="27" t="n">
        <v>3</v>
      </c>
      <c r="J17" s="26" t="s">
        <v>218</v>
      </c>
      <c r="K17" s="26" t="s">
        <v>204</v>
      </c>
      <c r="L17" s="26" t="s">
        <v>205</v>
      </c>
      <c r="M17" s="26" t="s">
        <v>243</v>
      </c>
    </row>
    <row r="18" customFormat="false" ht="33.75" hidden="false" customHeight="true" outlineLevel="0" collapsed="false">
      <c r="B18" s="26" t="s">
        <v>244</v>
      </c>
      <c r="C18" s="26" t="s">
        <v>198</v>
      </c>
      <c r="D18" s="26" t="s">
        <v>199</v>
      </c>
      <c r="E18" s="26" t="s">
        <v>240</v>
      </c>
      <c r="F18" s="26" t="s">
        <v>18</v>
      </c>
      <c r="G18" s="26" t="s">
        <v>241</v>
      </c>
      <c r="H18" s="26" t="s">
        <v>245</v>
      </c>
      <c r="I18" s="27" t="n">
        <v>3</v>
      </c>
      <c r="J18" s="26" t="s">
        <v>218</v>
      </c>
      <c r="K18" s="26" t="s">
        <v>204</v>
      </c>
      <c r="L18" s="26" t="s">
        <v>205</v>
      </c>
      <c r="M18" s="26" t="s">
        <v>246</v>
      </c>
    </row>
    <row r="19" customFormat="false" ht="33.75" hidden="false" customHeight="true" outlineLevel="0" collapsed="false">
      <c r="B19" s="26" t="s">
        <v>247</v>
      </c>
      <c r="C19" s="26" t="s">
        <v>198</v>
      </c>
      <c r="D19" s="26" t="s">
        <v>199</v>
      </c>
      <c r="E19" s="26" t="s">
        <v>240</v>
      </c>
      <c r="F19" s="26" t="s">
        <v>18</v>
      </c>
      <c r="G19" s="26" t="s">
        <v>241</v>
      </c>
      <c r="H19" s="26" t="s">
        <v>248</v>
      </c>
      <c r="I19" s="27" t="n">
        <v>1</v>
      </c>
      <c r="J19" s="26" t="s">
        <v>218</v>
      </c>
      <c r="K19" s="26" t="s">
        <v>204</v>
      </c>
      <c r="L19" s="26" t="s">
        <v>205</v>
      </c>
      <c r="M19" s="26" t="s">
        <v>249</v>
      </c>
    </row>
    <row r="20" customFormat="false" ht="33.75" hidden="false" customHeight="true" outlineLevel="0" collapsed="false">
      <c r="B20" s="26" t="s">
        <v>250</v>
      </c>
      <c r="C20" s="26" t="s">
        <v>198</v>
      </c>
      <c r="D20" s="26" t="s">
        <v>199</v>
      </c>
      <c r="E20" s="26" t="s">
        <v>240</v>
      </c>
      <c r="F20" s="26" t="s">
        <v>18</v>
      </c>
      <c r="G20" s="26" t="s">
        <v>241</v>
      </c>
      <c r="H20" s="26" t="s">
        <v>251</v>
      </c>
      <c r="I20" s="27" t="n">
        <v>1</v>
      </c>
      <c r="J20" s="26" t="s">
        <v>218</v>
      </c>
      <c r="K20" s="26" t="s">
        <v>204</v>
      </c>
      <c r="L20" s="26" t="s">
        <v>205</v>
      </c>
      <c r="M20" s="26" t="s">
        <v>252</v>
      </c>
    </row>
    <row r="21" customFormat="false" ht="33.75" hidden="false" customHeight="true" outlineLevel="0" collapsed="false">
      <c r="B21" s="26" t="s">
        <v>253</v>
      </c>
      <c r="C21" s="26" t="s">
        <v>198</v>
      </c>
      <c r="D21" s="26" t="s">
        <v>199</v>
      </c>
      <c r="E21" s="26" t="s">
        <v>240</v>
      </c>
      <c r="F21" s="26" t="s">
        <v>18</v>
      </c>
      <c r="G21" s="26" t="s">
        <v>241</v>
      </c>
      <c r="H21" s="26" t="s">
        <v>254</v>
      </c>
      <c r="I21" s="27" t="n">
        <v>1</v>
      </c>
      <c r="J21" s="26" t="s">
        <v>218</v>
      </c>
      <c r="K21" s="26" t="s">
        <v>204</v>
      </c>
      <c r="L21" s="26" t="s">
        <v>205</v>
      </c>
      <c r="M21" s="26" t="s">
        <v>255</v>
      </c>
    </row>
    <row r="22" customFormat="false" ht="33.75" hidden="false" customHeight="true" outlineLevel="0" collapsed="false">
      <c r="B22" s="20" t="s">
        <v>256</v>
      </c>
      <c r="C22" s="20" t="s">
        <v>257</v>
      </c>
      <c r="D22" s="20" t="s">
        <v>199</v>
      </c>
      <c r="E22" s="20" t="s">
        <v>258</v>
      </c>
      <c r="F22" s="20" t="s">
        <v>18</v>
      </c>
      <c r="G22" s="20" t="s">
        <v>259</v>
      </c>
      <c r="H22" s="20" t="s">
        <v>260</v>
      </c>
      <c r="I22" s="21" t="n">
        <v>1</v>
      </c>
      <c r="J22" s="20" t="s">
        <v>261</v>
      </c>
      <c r="K22" s="20" t="s">
        <v>262</v>
      </c>
      <c r="L22" s="20" t="s">
        <v>263</v>
      </c>
      <c r="M22" s="20" t="s">
        <v>264</v>
      </c>
    </row>
    <row r="23" customFormat="false" ht="33.75" hidden="false" customHeight="true" outlineLevel="0" collapsed="false">
      <c r="B23" s="26" t="s">
        <v>265</v>
      </c>
      <c r="C23" s="26" t="s">
        <v>198</v>
      </c>
      <c r="D23" s="26" t="s">
        <v>199</v>
      </c>
      <c r="E23" s="26" t="s">
        <v>200</v>
      </c>
      <c r="F23" s="26" t="s">
        <v>19</v>
      </c>
      <c r="G23" s="26" t="s">
        <v>201</v>
      </c>
      <c r="H23" s="26" t="s">
        <v>202</v>
      </c>
      <c r="I23" s="27" t="n">
        <f aca="false">SUMIFS('DWV Model'!$G$6:$G$41,'DWV Model'!$B$6:$B$41,$F23,'DWV Model'!$D$6:$D$41,"New ABS",'DWV Model'!$E$6:$E$41,2)</f>
        <v>13.759218</v>
      </c>
      <c r="J23" s="26" t="s">
        <v>203</v>
      </c>
      <c r="K23" s="26" t="s">
        <v>204</v>
      </c>
      <c r="L23" s="26" t="s">
        <v>205</v>
      </c>
      <c r="M23" s="26" t="s">
        <v>206</v>
      </c>
    </row>
    <row r="24" customFormat="false" ht="33.75" hidden="false" customHeight="true" outlineLevel="0" collapsed="false">
      <c r="B24" s="26" t="s">
        <v>266</v>
      </c>
      <c r="C24" s="26" t="s">
        <v>198</v>
      </c>
      <c r="D24" s="26" t="s">
        <v>199</v>
      </c>
      <c r="E24" s="26" t="s">
        <v>200</v>
      </c>
      <c r="F24" s="26" t="s">
        <v>19</v>
      </c>
      <c r="G24" s="26" t="s">
        <v>201</v>
      </c>
      <c r="H24" s="26" t="s">
        <v>208</v>
      </c>
      <c r="I24" s="27" t="n">
        <f aca="false">SUMIFS('DWV Model'!$G$6:$G$41,'DWV Model'!$B$6:$B$41,$F24,'DWV Model'!$D$6:$D$41,"New ABS",'DWV Model'!$E$6:$E$41,3)</f>
        <v>12.368664</v>
      </c>
      <c r="J24" s="26" t="s">
        <v>203</v>
      </c>
      <c r="K24" s="26" t="s">
        <v>204</v>
      </c>
      <c r="L24" s="26" t="s">
        <v>205</v>
      </c>
      <c r="M24" s="26" t="s">
        <v>206</v>
      </c>
    </row>
    <row r="25" customFormat="false" ht="33.75" hidden="false" customHeight="true" outlineLevel="0" collapsed="false">
      <c r="B25" s="26" t="s">
        <v>267</v>
      </c>
      <c r="C25" s="26" t="s">
        <v>198</v>
      </c>
      <c r="D25" s="26" t="s">
        <v>199</v>
      </c>
      <c r="E25" s="26" t="s">
        <v>200</v>
      </c>
      <c r="F25" s="26" t="s">
        <v>19</v>
      </c>
      <c r="G25" s="26" t="s">
        <v>201</v>
      </c>
      <c r="H25" s="26" t="s">
        <v>210</v>
      </c>
      <c r="I25" s="27" t="n">
        <f aca="false">SUMIFS('DWV Model'!$G$6:$G$41,'DWV Model'!$B$6:$B$41,$F25,'DWV Model'!$D$6:$D$41,"New ABS",'DWV Model'!$E$6:$E$41,4)</f>
        <v>48.434184</v>
      </c>
      <c r="J25" s="26" t="s">
        <v>203</v>
      </c>
      <c r="K25" s="26" t="s">
        <v>204</v>
      </c>
      <c r="L25" s="26" t="s">
        <v>205</v>
      </c>
      <c r="M25" s="26" t="s">
        <v>206</v>
      </c>
    </row>
    <row r="26" customFormat="false" ht="33.75" hidden="false" customHeight="true" outlineLevel="0" collapsed="false">
      <c r="B26" s="26" t="s">
        <v>268</v>
      </c>
      <c r="C26" s="26" t="s">
        <v>198</v>
      </c>
      <c r="D26" s="26" t="s">
        <v>199</v>
      </c>
      <c r="E26" s="26" t="s">
        <v>200</v>
      </c>
      <c r="F26" s="26" t="s">
        <v>19</v>
      </c>
      <c r="G26" s="26" t="s">
        <v>201</v>
      </c>
      <c r="H26" s="26" t="s">
        <v>212</v>
      </c>
      <c r="I26" s="27" t="n">
        <f aca="false">SUMIFS('DWV Model'!$G$6:$G$41,'DWV Model'!$B$6:$B$41,$F26,'DWV Model'!$D$6:$D$41,"New ABS",'DWV Model'!$E$6:$E$41,6)</f>
        <v>1.500325</v>
      </c>
      <c r="J26" s="26" t="s">
        <v>203</v>
      </c>
      <c r="K26" s="26" t="s">
        <v>204</v>
      </c>
      <c r="L26" s="26" t="s">
        <v>205</v>
      </c>
      <c r="M26" s="26" t="s">
        <v>206</v>
      </c>
    </row>
    <row r="27" customFormat="false" ht="33.75" hidden="false" customHeight="true" outlineLevel="0" collapsed="false">
      <c r="B27" s="22" t="s">
        <v>269</v>
      </c>
      <c r="C27" s="22" t="s">
        <v>198</v>
      </c>
      <c r="D27" s="22" t="s">
        <v>214</v>
      </c>
      <c r="E27" s="22" t="s">
        <v>215</v>
      </c>
      <c r="F27" s="22" t="s">
        <v>19</v>
      </c>
      <c r="G27" s="22" t="s">
        <v>216</v>
      </c>
      <c r="H27" s="22" t="s">
        <v>217</v>
      </c>
      <c r="I27" s="23" t="n">
        <v>1</v>
      </c>
      <c r="J27" s="22" t="s">
        <v>218</v>
      </c>
      <c r="K27" s="22" t="s">
        <v>219</v>
      </c>
      <c r="L27" s="22" t="s">
        <v>205</v>
      </c>
      <c r="M27" s="22" t="s">
        <v>220</v>
      </c>
    </row>
    <row r="28" customFormat="false" ht="33.75" hidden="false" customHeight="true" outlineLevel="0" collapsed="false">
      <c r="B28" s="20" t="s">
        <v>270</v>
      </c>
      <c r="C28" s="20" t="s">
        <v>198</v>
      </c>
      <c r="D28" s="20" t="s">
        <v>214</v>
      </c>
      <c r="E28" s="20" t="s">
        <v>215</v>
      </c>
      <c r="F28" s="20" t="s">
        <v>19</v>
      </c>
      <c r="G28" s="20" t="s">
        <v>216</v>
      </c>
      <c r="H28" s="20" t="s">
        <v>222</v>
      </c>
      <c r="I28" s="21" t="n">
        <v>2</v>
      </c>
      <c r="J28" s="20" t="s">
        <v>218</v>
      </c>
      <c r="K28" s="20" t="s">
        <v>219</v>
      </c>
      <c r="L28" s="20" t="s">
        <v>205</v>
      </c>
      <c r="M28" s="20" t="s">
        <v>223</v>
      </c>
    </row>
    <row r="29" customFormat="false" ht="33.75" hidden="false" customHeight="true" outlineLevel="0" collapsed="false">
      <c r="B29" s="22" t="s">
        <v>271</v>
      </c>
      <c r="C29" s="22" t="s">
        <v>198</v>
      </c>
      <c r="D29" s="22" t="s">
        <v>214</v>
      </c>
      <c r="E29" s="22" t="s">
        <v>215</v>
      </c>
      <c r="F29" s="22" t="s">
        <v>19</v>
      </c>
      <c r="G29" s="22" t="s">
        <v>216</v>
      </c>
      <c r="H29" s="22" t="s">
        <v>225</v>
      </c>
      <c r="I29" s="23" t="n">
        <v>1</v>
      </c>
      <c r="J29" s="22" t="s">
        <v>218</v>
      </c>
      <c r="K29" s="22" t="s">
        <v>219</v>
      </c>
      <c r="L29" s="22" t="s">
        <v>205</v>
      </c>
      <c r="M29" s="22" t="s">
        <v>226</v>
      </c>
    </row>
    <row r="30" customFormat="false" ht="33.75" hidden="false" customHeight="true" outlineLevel="0" collapsed="false">
      <c r="B30" s="20" t="s">
        <v>272</v>
      </c>
      <c r="C30" s="20" t="s">
        <v>198</v>
      </c>
      <c r="D30" s="20" t="s">
        <v>214</v>
      </c>
      <c r="E30" s="20" t="s">
        <v>215</v>
      </c>
      <c r="F30" s="20" t="s">
        <v>19</v>
      </c>
      <c r="G30" s="20" t="s">
        <v>216</v>
      </c>
      <c r="H30" s="20" t="s">
        <v>228</v>
      </c>
      <c r="I30" s="21" t="n">
        <v>1</v>
      </c>
      <c r="J30" s="20" t="s">
        <v>218</v>
      </c>
      <c r="K30" s="20" t="s">
        <v>219</v>
      </c>
      <c r="L30" s="20" t="s">
        <v>205</v>
      </c>
      <c r="M30" s="20" t="s">
        <v>229</v>
      </c>
    </row>
    <row r="31" customFormat="false" ht="33.75" hidden="false" customHeight="true" outlineLevel="0" collapsed="false">
      <c r="B31" s="22" t="s">
        <v>273</v>
      </c>
      <c r="C31" s="22" t="s">
        <v>198</v>
      </c>
      <c r="D31" s="22" t="s">
        <v>214</v>
      </c>
      <c r="E31" s="22" t="s">
        <v>215</v>
      </c>
      <c r="F31" s="22" t="s">
        <v>19</v>
      </c>
      <c r="G31" s="22" t="s">
        <v>216</v>
      </c>
      <c r="H31" s="22" t="s">
        <v>231</v>
      </c>
      <c r="I31" s="23" t="n">
        <v>2</v>
      </c>
      <c r="J31" s="22" t="s">
        <v>218</v>
      </c>
      <c r="K31" s="22" t="s">
        <v>219</v>
      </c>
      <c r="L31" s="22" t="s">
        <v>205</v>
      </c>
      <c r="M31" s="22" t="s">
        <v>232</v>
      </c>
    </row>
    <row r="32" customFormat="false" ht="33.75" hidden="false" customHeight="true" outlineLevel="0" collapsed="false">
      <c r="B32" s="20" t="s">
        <v>274</v>
      </c>
      <c r="C32" s="20" t="s">
        <v>198</v>
      </c>
      <c r="D32" s="20" t="s">
        <v>214</v>
      </c>
      <c r="E32" s="20" t="s">
        <v>215</v>
      </c>
      <c r="F32" s="20" t="s">
        <v>19</v>
      </c>
      <c r="G32" s="20" t="s">
        <v>216</v>
      </c>
      <c r="H32" s="20" t="s">
        <v>234</v>
      </c>
      <c r="I32" s="21" t="n">
        <v>1</v>
      </c>
      <c r="J32" s="20" t="s">
        <v>218</v>
      </c>
      <c r="K32" s="20" t="s">
        <v>219</v>
      </c>
      <c r="L32" s="20" t="s">
        <v>205</v>
      </c>
      <c r="M32" s="20" t="s">
        <v>235</v>
      </c>
    </row>
    <row r="33" customFormat="false" ht="33.75" hidden="false" customHeight="true" outlineLevel="0" collapsed="false">
      <c r="B33" s="22" t="s">
        <v>275</v>
      </c>
      <c r="C33" s="22" t="s">
        <v>198</v>
      </c>
      <c r="D33" s="22" t="s">
        <v>214</v>
      </c>
      <c r="E33" s="22" t="s">
        <v>215</v>
      </c>
      <c r="F33" s="22" t="s">
        <v>19</v>
      </c>
      <c r="G33" s="22" t="s">
        <v>216</v>
      </c>
      <c r="H33" s="22" t="s">
        <v>237</v>
      </c>
      <c r="I33" s="23" t="n">
        <v>1</v>
      </c>
      <c r="J33" s="22" t="s">
        <v>218</v>
      </c>
      <c r="K33" s="22" t="s">
        <v>219</v>
      </c>
      <c r="L33" s="22" t="s">
        <v>205</v>
      </c>
      <c r="M33" s="22" t="s">
        <v>238</v>
      </c>
    </row>
    <row r="34" customFormat="false" ht="33.75" hidden="false" customHeight="true" outlineLevel="0" collapsed="false">
      <c r="B34" s="26" t="s">
        <v>276</v>
      </c>
      <c r="C34" s="26" t="s">
        <v>198</v>
      </c>
      <c r="D34" s="26" t="s">
        <v>199</v>
      </c>
      <c r="E34" s="26" t="s">
        <v>240</v>
      </c>
      <c r="F34" s="26" t="s">
        <v>19</v>
      </c>
      <c r="G34" s="26" t="s">
        <v>241</v>
      </c>
      <c r="H34" s="26" t="s">
        <v>242</v>
      </c>
      <c r="I34" s="27" t="n">
        <v>3</v>
      </c>
      <c r="J34" s="26" t="s">
        <v>218</v>
      </c>
      <c r="K34" s="26" t="s">
        <v>204</v>
      </c>
      <c r="L34" s="26" t="s">
        <v>205</v>
      </c>
      <c r="M34" s="26" t="s">
        <v>243</v>
      </c>
    </row>
    <row r="35" customFormat="false" ht="33.75" hidden="false" customHeight="true" outlineLevel="0" collapsed="false">
      <c r="B35" s="26" t="s">
        <v>277</v>
      </c>
      <c r="C35" s="26" t="s">
        <v>198</v>
      </c>
      <c r="D35" s="26" t="s">
        <v>199</v>
      </c>
      <c r="E35" s="26" t="s">
        <v>240</v>
      </c>
      <c r="F35" s="26" t="s">
        <v>19</v>
      </c>
      <c r="G35" s="26" t="s">
        <v>241</v>
      </c>
      <c r="H35" s="26" t="s">
        <v>245</v>
      </c>
      <c r="I35" s="27" t="n">
        <v>3</v>
      </c>
      <c r="J35" s="26" t="s">
        <v>218</v>
      </c>
      <c r="K35" s="26" t="s">
        <v>204</v>
      </c>
      <c r="L35" s="26" t="s">
        <v>205</v>
      </c>
      <c r="M35" s="26" t="s">
        <v>246</v>
      </c>
    </row>
    <row r="36" customFormat="false" ht="33.75" hidden="false" customHeight="true" outlineLevel="0" collapsed="false">
      <c r="B36" s="26" t="s">
        <v>278</v>
      </c>
      <c r="C36" s="26" t="s">
        <v>198</v>
      </c>
      <c r="D36" s="26" t="s">
        <v>199</v>
      </c>
      <c r="E36" s="26" t="s">
        <v>240</v>
      </c>
      <c r="F36" s="26" t="s">
        <v>19</v>
      </c>
      <c r="G36" s="26" t="s">
        <v>241</v>
      </c>
      <c r="H36" s="26" t="s">
        <v>248</v>
      </c>
      <c r="I36" s="27" t="n">
        <v>1</v>
      </c>
      <c r="J36" s="26" t="s">
        <v>218</v>
      </c>
      <c r="K36" s="26" t="s">
        <v>204</v>
      </c>
      <c r="L36" s="26" t="s">
        <v>205</v>
      </c>
      <c r="M36" s="26" t="s">
        <v>249</v>
      </c>
    </row>
    <row r="37" customFormat="false" ht="33.75" hidden="false" customHeight="true" outlineLevel="0" collapsed="false">
      <c r="B37" s="26" t="s">
        <v>279</v>
      </c>
      <c r="C37" s="26" t="s">
        <v>198</v>
      </c>
      <c r="D37" s="26" t="s">
        <v>199</v>
      </c>
      <c r="E37" s="26" t="s">
        <v>240</v>
      </c>
      <c r="F37" s="26" t="s">
        <v>19</v>
      </c>
      <c r="G37" s="26" t="s">
        <v>241</v>
      </c>
      <c r="H37" s="26" t="s">
        <v>251</v>
      </c>
      <c r="I37" s="27" t="n">
        <v>1</v>
      </c>
      <c r="J37" s="26" t="s">
        <v>218</v>
      </c>
      <c r="K37" s="26" t="s">
        <v>204</v>
      </c>
      <c r="L37" s="26" t="s">
        <v>205</v>
      </c>
      <c r="M37" s="26" t="s">
        <v>252</v>
      </c>
    </row>
    <row r="38" customFormat="false" ht="33.75" hidden="false" customHeight="true" outlineLevel="0" collapsed="false">
      <c r="B38" s="26" t="s">
        <v>280</v>
      </c>
      <c r="C38" s="26" t="s">
        <v>198</v>
      </c>
      <c r="D38" s="26" t="s">
        <v>199</v>
      </c>
      <c r="E38" s="26" t="s">
        <v>240</v>
      </c>
      <c r="F38" s="26" t="s">
        <v>19</v>
      </c>
      <c r="G38" s="26" t="s">
        <v>241</v>
      </c>
      <c r="H38" s="26" t="s">
        <v>254</v>
      </c>
      <c r="I38" s="27" t="n">
        <v>1</v>
      </c>
      <c r="J38" s="26" t="s">
        <v>218</v>
      </c>
      <c r="K38" s="26" t="s">
        <v>204</v>
      </c>
      <c r="L38" s="26" t="s">
        <v>205</v>
      </c>
      <c r="M38" s="26" t="s">
        <v>255</v>
      </c>
    </row>
    <row r="39" customFormat="false" ht="33.75" hidden="false" customHeight="true" outlineLevel="0" collapsed="false">
      <c r="B39" s="22" t="s">
        <v>281</v>
      </c>
      <c r="C39" s="22" t="s">
        <v>257</v>
      </c>
      <c r="D39" s="22" t="s">
        <v>199</v>
      </c>
      <c r="E39" s="22" t="s">
        <v>258</v>
      </c>
      <c r="F39" s="22" t="s">
        <v>19</v>
      </c>
      <c r="G39" s="22" t="s">
        <v>259</v>
      </c>
      <c r="H39" s="22" t="s">
        <v>260</v>
      </c>
      <c r="I39" s="23" t="n">
        <v>1</v>
      </c>
      <c r="J39" s="22" t="s">
        <v>261</v>
      </c>
      <c r="K39" s="22" t="s">
        <v>262</v>
      </c>
      <c r="L39" s="22" t="s">
        <v>263</v>
      </c>
      <c r="M39" s="22" t="s">
        <v>264</v>
      </c>
    </row>
    <row r="40" customFormat="false" ht="33.75" hidden="false" customHeight="true" outlineLevel="0" collapsed="false">
      <c r="B40" s="26" t="s">
        <v>282</v>
      </c>
      <c r="C40" s="26" t="s">
        <v>198</v>
      </c>
      <c r="D40" s="26" t="s">
        <v>199</v>
      </c>
      <c r="E40" s="26" t="s">
        <v>200</v>
      </c>
      <c r="F40" s="26" t="s">
        <v>20</v>
      </c>
      <c r="G40" s="26" t="s">
        <v>201</v>
      </c>
      <c r="H40" s="26" t="s">
        <v>202</v>
      </c>
      <c r="I40" s="27" t="n">
        <f aca="false">SUMIFS('DWV Model'!$G$6:$G$41,'DWV Model'!$B$6:$B$41,$F40,'DWV Model'!$D$6:$D$41,"New ABS",'DWV Model'!$E$6:$E$41,2)</f>
        <v>15.636944</v>
      </c>
      <c r="J40" s="26" t="s">
        <v>203</v>
      </c>
      <c r="K40" s="26" t="s">
        <v>204</v>
      </c>
      <c r="L40" s="26" t="s">
        <v>205</v>
      </c>
      <c r="M40" s="26" t="s">
        <v>206</v>
      </c>
    </row>
    <row r="41" customFormat="false" ht="33.75" hidden="false" customHeight="true" outlineLevel="0" collapsed="false">
      <c r="B41" s="26" t="s">
        <v>283</v>
      </c>
      <c r="C41" s="26" t="s">
        <v>198</v>
      </c>
      <c r="D41" s="26" t="s">
        <v>199</v>
      </c>
      <c r="E41" s="26" t="s">
        <v>200</v>
      </c>
      <c r="F41" s="26" t="s">
        <v>20</v>
      </c>
      <c r="G41" s="26" t="s">
        <v>201</v>
      </c>
      <c r="H41" s="26" t="s">
        <v>208</v>
      </c>
      <c r="I41" s="27" t="n">
        <f aca="false">SUMIFS('DWV Model'!$G$6:$G$41,'DWV Model'!$B$6:$B$41,$F41,'DWV Model'!$D$6:$D$41,"New ABS",'DWV Model'!$E$6:$E$41,3)</f>
        <v>13.889694</v>
      </c>
      <c r="J41" s="26" t="s">
        <v>203</v>
      </c>
      <c r="K41" s="26" t="s">
        <v>204</v>
      </c>
      <c r="L41" s="26" t="s">
        <v>205</v>
      </c>
      <c r="M41" s="26" t="s">
        <v>206</v>
      </c>
    </row>
    <row r="42" customFormat="false" ht="33.75" hidden="false" customHeight="true" outlineLevel="0" collapsed="false">
      <c r="B42" s="26" t="s">
        <v>284</v>
      </c>
      <c r="C42" s="26" t="s">
        <v>198</v>
      </c>
      <c r="D42" s="26" t="s">
        <v>199</v>
      </c>
      <c r="E42" s="26" t="s">
        <v>200</v>
      </c>
      <c r="F42" s="26" t="s">
        <v>20</v>
      </c>
      <c r="G42" s="26" t="s">
        <v>201</v>
      </c>
      <c r="H42" s="26" t="s">
        <v>210</v>
      </c>
      <c r="I42" s="27" t="n">
        <f aca="false">SUMIFS('DWV Model'!$G$6:$G$41,'DWV Model'!$B$6:$B$41,$F42,'DWV Model'!$D$6:$D$41,"New ABS",'DWV Model'!$E$6:$E$41,4)</f>
        <v>62.273427</v>
      </c>
      <c r="J42" s="26" t="s">
        <v>203</v>
      </c>
      <c r="K42" s="26" t="s">
        <v>204</v>
      </c>
      <c r="L42" s="26" t="s">
        <v>205</v>
      </c>
      <c r="M42" s="26" t="s">
        <v>206</v>
      </c>
    </row>
    <row r="43" customFormat="false" ht="33.75" hidden="false" customHeight="true" outlineLevel="0" collapsed="false">
      <c r="B43" s="26" t="s">
        <v>285</v>
      </c>
      <c r="C43" s="26" t="s">
        <v>198</v>
      </c>
      <c r="D43" s="26" t="s">
        <v>199</v>
      </c>
      <c r="E43" s="26" t="s">
        <v>200</v>
      </c>
      <c r="F43" s="26" t="s">
        <v>20</v>
      </c>
      <c r="G43" s="26" t="s">
        <v>201</v>
      </c>
      <c r="H43" s="26" t="s">
        <v>212</v>
      </c>
      <c r="I43" s="27" t="n">
        <f aca="false">SUMIFS('DWV Model'!$G$6:$G$41,'DWV Model'!$B$6:$B$41,$F43,'DWV Model'!$D$6:$D$41,"New ABS",'DWV Model'!$E$6:$E$41,6)</f>
        <v>1.500325</v>
      </c>
      <c r="J43" s="26" t="s">
        <v>203</v>
      </c>
      <c r="K43" s="26" t="s">
        <v>204</v>
      </c>
      <c r="L43" s="26" t="s">
        <v>205</v>
      </c>
      <c r="M43" s="26" t="s">
        <v>206</v>
      </c>
    </row>
    <row r="44" customFormat="false" ht="33.75" hidden="false" customHeight="true" outlineLevel="0" collapsed="false">
      <c r="B44" s="20" t="s">
        <v>286</v>
      </c>
      <c r="C44" s="20" t="s">
        <v>198</v>
      </c>
      <c r="D44" s="20" t="s">
        <v>214</v>
      </c>
      <c r="E44" s="20" t="s">
        <v>215</v>
      </c>
      <c r="F44" s="20" t="s">
        <v>20</v>
      </c>
      <c r="G44" s="20" t="s">
        <v>216</v>
      </c>
      <c r="H44" s="20" t="s">
        <v>217</v>
      </c>
      <c r="I44" s="21" t="n">
        <v>1</v>
      </c>
      <c r="J44" s="20" t="s">
        <v>218</v>
      </c>
      <c r="K44" s="20" t="s">
        <v>219</v>
      </c>
      <c r="L44" s="20" t="s">
        <v>205</v>
      </c>
      <c r="M44" s="20" t="s">
        <v>220</v>
      </c>
    </row>
    <row r="45" customFormat="false" ht="33.75" hidden="false" customHeight="true" outlineLevel="0" collapsed="false">
      <c r="B45" s="22" t="s">
        <v>287</v>
      </c>
      <c r="C45" s="22" t="s">
        <v>198</v>
      </c>
      <c r="D45" s="22" t="s">
        <v>214</v>
      </c>
      <c r="E45" s="22" t="s">
        <v>215</v>
      </c>
      <c r="F45" s="22" t="s">
        <v>20</v>
      </c>
      <c r="G45" s="22" t="s">
        <v>216</v>
      </c>
      <c r="H45" s="22" t="s">
        <v>222</v>
      </c>
      <c r="I45" s="23" t="n">
        <v>2</v>
      </c>
      <c r="J45" s="22" t="s">
        <v>218</v>
      </c>
      <c r="K45" s="22" t="s">
        <v>219</v>
      </c>
      <c r="L45" s="22" t="s">
        <v>205</v>
      </c>
      <c r="M45" s="22" t="s">
        <v>223</v>
      </c>
    </row>
    <row r="46" customFormat="false" ht="33.75" hidden="false" customHeight="true" outlineLevel="0" collapsed="false">
      <c r="B46" s="20" t="s">
        <v>288</v>
      </c>
      <c r="C46" s="20" t="s">
        <v>198</v>
      </c>
      <c r="D46" s="20" t="s">
        <v>214</v>
      </c>
      <c r="E46" s="20" t="s">
        <v>215</v>
      </c>
      <c r="F46" s="20" t="s">
        <v>20</v>
      </c>
      <c r="G46" s="20" t="s">
        <v>216</v>
      </c>
      <c r="H46" s="20" t="s">
        <v>225</v>
      </c>
      <c r="I46" s="21" t="n">
        <v>1</v>
      </c>
      <c r="J46" s="20" t="s">
        <v>218</v>
      </c>
      <c r="K46" s="20" t="s">
        <v>219</v>
      </c>
      <c r="L46" s="20" t="s">
        <v>205</v>
      </c>
      <c r="M46" s="20" t="s">
        <v>226</v>
      </c>
    </row>
    <row r="47" customFormat="false" ht="33.75" hidden="false" customHeight="true" outlineLevel="0" collapsed="false">
      <c r="B47" s="22" t="s">
        <v>289</v>
      </c>
      <c r="C47" s="22" t="s">
        <v>198</v>
      </c>
      <c r="D47" s="22" t="s">
        <v>214</v>
      </c>
      <c r="E47" s="22" t="s">
        <v>215</v>
      </c>
      <c r="F47" s="22" t="s">
        <v>20</v>
      </c>
      <c r="G47" s="22" t="s">
        <v>216</v>
      </c>
      <c r="H47" s="22" t="s">
        <v>228</v>
      </c>
      <c r="I47" s="23" t="n">
        <v>1</v>
      </c>
      <c r="J47" s="22" t="s">
        <v>218</v>
      </c>
      <c r="K47" s="22" t="s">
        <v>219</v>
      </c>
      <c r="L47" s="22" t="s">
        <v>205</v>
      </c>
      <c r="M47" s="22" t="s">
        <v>229</v>
      </c>
    </row>
    <row r="48" customFormat="false" ht="33.75" hidden="false" customHeight="true" outlineLevel="0" collapsed="false">
      <c r="B48" s="20" t="s">
        <v>290</v>
      </c>
      <c r="C48" s="20" t="s">
        <v>198</v>
      </c>
      <c r="D48" s="20" t="s">
        <v>214</v>
      </c>
      <c r="E48" s="20" t="s">
        <v>215</v>
      </c>
      <c r="F48" s="20" t="s">
        <v>20</v>
      </c>
      <c r="G48" s="20" t="s">
        <v>216</v>
      </c>
      <c r="H48" s="20" t="s">
        <v>231</v>
      </c>
      <c r="I48" s="21" t="n">
        <v>2</v>
      </c>
      <c r="J48" s="20" t="s">
        <v>218</v>
      </c>
      <c r="K48" s="20" t="s">
        <v>219</v>
      </c>
      <c r="L48" s="20" t="s">
        <v>205</v>
      </c>
      <c r="M48" s="20" t="s">
        <v>232</v>
      </c>
    </row>
    <row r="49" customFormat="false" ht="33.75" hidden="false" customHeight="true" outlineLevel="0" collapsed="false">
      <c r="B49" s="22" t="s">
        <v>291</v>
      </c>
      <c r="C49" s="22" t="s">
        <v>198</v>
      </c>
      <c r="D49" s="22" t="s">
        <v>214</v>
      </c>
      <c r="E49" s="22" t="s">
        <v>215</v>
      </c>
      <c r="F49" s="22" t="s">
        <v>20</v>
      </c>
      <c r="G49" s="22" t="s">
        <v>216</v>
      </c>
      <c r="H49" s="22" t="s">
        <v>234</v>
      </c>
      <c r="I49" s="23" t="n">
        <v>1</v>
      </c>
      <c r="J49" s="22" t="s">
        <v>218</v>
      </c>
      <c r="K49" s="22" t="s">
        <v>219</v>
      </c>
      <c r="L49" s="22" t="s">
        <v>205</v>
      </c>
      <c r="M49" s="22" t="s">
        <v>235</v>
      </c>
    </row>
    <row r="50" customFormat="false" ht="33.75" hidden="false" customHeight="true" outlineLevel="0" collapsed="false">
      <c r="B50" s="20" t="s">
        <v>292</v>
      </c>
      <c r="C50" s="20" t="s">
        <v>198</v>
      </c>
      <c r="D50" s="20" t="s">
        <v>214</v>
      </c>
      <c r="E50" s="20" t="s">
        <v>215</v>
      </c>
      <c r="F50" s="20" t="s">
        <v>20</v>
      </c>
      <c r="G50" s="20" t="s">
        <v>216</v>
      </c>
      <c r="H50" s="20" t="s">
        <v>237</v>
      </c>
      <c r="I50" s="21" t="n">
        <v>1</v>
      </c>
      <c r="J50" s="20" t="s">
        <v>218</v>
      </c>
      <c r="K50" s="20" t="s">
        <v>219</v>
      </c>
      <c r="L50" s="20" t="s">
        <v>205</v>
      </c>
      <c r="M50" s="20" t="s">
        <v>238</v>
      </c>
    </row>
    <row r="51" customFormat="false" ht="33.75" hidden="false" customHeight="true" outlineLevel="0" collapsed="false">
      <c r="B51" s="26" t="s">
        <v>293</v>
      </c>
      <c r="C51" s="26" t="s">
        <v>198</v>
      </c>
      <c r="D51" s="26" t="s">
        <v>199</v>
      </c>
      <c r="E51" s="26" t="s">
        <v>240</v>
      </c>
      <c r="F51" s="26" t="s">
        <v>20</v>
      </c>
      <c r="G51" s="26" t="s">
        <v>241</v>
      </c>
      <c r="H51" s="26" t="s">
        <v>242</v>
      </c>
      <c r="I51" s="27" t="n">
        <v>3</v>
      </c>
      <c r="J51" s="26" t="s">
        <v>218</v>
      </c>
      <c r="K51" s="26" t="s">
        <v>204</v>
      </c>
      <c r="L51" s="26" t="s">
        <v>205</v>
      </c>
      <c r="M51" s="26" t="s">
        <v>243</v>
      </c>
    </row>
    <row r="52" customFormat="false" ht="33.75" hidden="false" customHeight="true" outlineLevel="0" collapsed="false">
      <c r="B52" s="26" t="s">
        <v>294</v>
      </c>
      <c r="C52" s="26" t="s">
        <v>198</v>
      </c>
      <c r="D52" s="26" t="s">
        <v>199</v>
      </c>
      <c r="E52" s="26" t="s">
        <v>240</v>
      </c>
      <c r="F52" s="26" t="s">
        <v>20</v>
      </c>
      <c r="G52" s="26" t="s">
        <v>241</v>
      </c>
      <c r="H52" s="26" t="s">
        <v>245</v>
      </c>
      <c r="I52" s="27" t="n">
        <v>3</v>
      </c>
      <c r="J52" s="26" t="s">
        <v>218</v>
      </c>
      <c r="K52" s="26" t="s">
        <v>204</v>
      </c>
      <c r="L52" s="26" t="s">
        <v>205</v>
      </c>
      <c r="M52" s="26" t="s">
        <v>246</v>
      </c>
    </row>
    <row r="53" customFormat="false" ht="33.75" hidden="false" customHeight="true" outlineLevel="0" collapsed="false">
      <c r="B53" s="26" t="s">
        <v>295</v>
      </c>
      <c r="C53" s="26" t="s">
        <v>198</v>
      </c>
      <c r="D53" s="26" t="s">
        <v>199</v>
      </c>
      <c r="E53" s="26" t="s">
        <v>240</v>
      </c>
      <c r="F53" s="26" t="s">
        <v>20</v>
      </c>
      <c r="G53" s="26" t="s">
        <v>241</v>
      </c>
      <c r="H53" s="26" t="s">
        <v>248</v>
      </c>
      <c r="I53" s="27" t="n">
        <v>1</v>
      </c>
      <c r="J53" s="26" t="s">
        <v>218</v>
      </c>
      <c r="K53" s="26" t="s">
        <v>204</v>
      </c>
      <c r="L53" s="26" t="s">
        <v>205</v>
      </c>
      <c r="M53" s="26" t="s">
        <v>249</v>
      </c>
    </row>
    <row r="54" customFormat="false" ht="33.75" hidden="false" customHeight="true" outlineLevel="0" collapsed="false">
      <c r="B54" s="26" t="s">
        <v>296</v>
      </c>
      <c r="C54" s="26" t="s">
        <v>198</v>
      </c>
      <c r="D54" s="26" t="s">
        <v>199</v>
      </c>
      <c r="E54" s="26" t="s">
        <v>240</v>
      </c>
      <c r="F54" s="26" t="s">
        <v>20</v>
      </c>
      <c r="G54" s="26" t="s">
        <v>241</v>
      </c>
      <c r="H54" s="26" t="s">
        <v>251</v>
      </c>
      <c r="I54" s="27" t="n">
        <v>1</v>
      </c>
      <c r="J54" s="26" t="s">
        <v>218</v>
      </c>
      <c r="K54" s="26" t="s">
        <v>204</v>
      </c>
      <c r="L54" s="26" t="s">
        <v>205</v>
      </c>
      <c r="M54" s="26" t="s">
        <v>252</v>
      </c>
    </row>
    <row r="55" customFormat="false" ht="33.75" hidden="false" customHeight="true" outlineLevel="0" collapsed="false">
      <c r="B55" s="26" t="s">
        <v>297</v>
      </c>
      <c r="C55" s="26" t="s">
        <v>198</v>
      </c>
      <c r="D55" s="26" t="s">
        <v>199</v>
      </c>
      <c r="E55" s="26" t="s">
        <v>240</v>
      </c>
      <c r="F55" s="26" t="s">
        <v>20</v>
      </c>
      <c r="G55" s="26" t="s">
        <v>241</v>
      </c>
      <c r="H55" s="26" t="s">
        <v>254</v>
      </c>
      <c r="I55" s="27" t="n">
        <v>1</v>
      </c>
      <c r="J55" s="26" t="s">
        <v>218</v>
      </c>
      <c r="K55" s="26" t="s">
        <v>204</v>
      </c>
      <c r="L55" s="26" t="s">
        <v>205</v>
      </c>
      <c r="M55" s="26" t="s">
        <v>255</v>
      </c>
    </row>
    <row r="56" customFormat="false" ht="33.75" hidden="false" customHeight="true" outlineLevel="0" collapsed="false">
      <c r="B56" s="20" t="s">
        <v>298</v>
      </c>
      <c r="C56" s="20" t="s">
        <v>257</v>
      </c>
      <c r="D56" s="20" t="s">
        <v>199</v>
      </c>
      <c r="E56" s="20" t="s">
        <v>258</v>
      </c>
      <c r="F56" s="20" t="s">
        <v>20</v>
      </c>
      <c r="G56" s="20" t="s">
        <v>259</v>
      </c>
      <c r="H56" s="20" t="s">
        <v>260</v>
      </c>
      <c r="I56" s="21" t="n">
        <v>1</v>
      </c>
      <c r="J56" s="20" t="s">
        <v>261</v>
      </c>
      <c r="K56" s="20" t="s">
        <v>262</v>
      </c>
      <c r="L56" s="20" t="s">
        <v>263</v>
      </c>
      <c r="M56" s="20" t="s">
        <v>264</v>
      </c>
    </row>
    <row r="57" customFormat="false" ht="33.75" hidden="false" customHeight="true" outlineLevel="0" collapsed="false">
      <c r="B57" s="26" t="s">
        <v>299</v>
      </c>
      <c r="C57" s="26" t="s">
        <v>198</v>
      </c>
      <c r="D57" s="26" t="s">
        <v>199</v>
      </c>
      <c r="E57" s="26" t="s">
        <v>200</v>
      </c>
      <c r="F57" s="26" t="s">
        <v>21</v>
      </c>
      <c r="G57" s="26" t="s">
        <v>201</v>
      </c>
      <c r="H57" s="26" t="s">
        <v>202</v>
      </c>
      <c r="I57" s="27" t="n">
        <f aca="false">SUMIFS('DWV Model'!$G$6:$G$41,'DWV Model'!$B$6:$B$41,$F57,'DWV Model'!$D$6:$D$41,"New ABS",'DWV Model'!$E$6:$E$41,2)</f>
        <v>8.798706</v>
      </c>
      <c r="J57" s="26" t="s">
        <v>203</v>
      </c>
      <c r="K57" s="26" t="s">
        <v>204</v>
      </c>
      <c r="L57" s="26" t="s">
        <v>205</v>
      </c>
      <c r="M57" s="26" t="s">
        <v>206</v>
      </c>
    </row>
    <row r="58" customFormat="false" ht="33.75" hidden="false" customHeight="true" outlineLevel="0" collapsed="false">
      <c r="B58" s="26" t="s">
        <v>300</v>
      </c>
      <c r="C58" s="26" t="s">
        <v>198</v>
      </c>
      <c r="D58" s="26" t="s">
        <v>199</v>
      </c>
      <c r="E58" s="26" t="s">
        <v>200</v>
      </c>
      <c r="F58" s="26" t="s">
        <v>21</v>
      </c>
      <c r="G58" s="26" t="s">
        <v>201</v>
      </c>
      <c r="H58" s="26" t="s">
        <v>208</v>
      </c>
      <c r="I58" s="27" t="n">
        <f aca="false">SUMIFS('DWV Model'!$G$6:$G$41,'DWV Model'!$B$6:$B$41,$F58,'DWV Model'!$D$6:$D$41,"New ABS",'DWV Model'!$E$6:$E$41,3)</f>
        <v>15.889374</v>
      </c>
      <c r="J58" s="26" t="s">
        <v>203</v>
      </c>
      <c r="K58" s="26" t="s">
        <v>204</v>
      </c>
      <c r="L58" s="26" t="s">
        <v>205</v>
      </c>
      <c r="M58" s="26" t="s">
        <v>206</v>
      </c>
    </row>
    <row r="59" customFormat="false" ht="33.75" hidden="false" customHeight="true" outlineLevel="0" collapsed="false">
      <c r="B59" s="26" t="s">
        <v>301</v>
      </c>
      <c r="C59" s="26" t="s">
        <v>198</v>
      </c>
      <c r="D59" s="26" t="s">
        <v>199</v>
      </c>
      <c r="E59" s="26" t="s">
        <v>200</v>
      </c>
      <c r="F59" s="26" t="s">
        <v>21</v>
      </c>
      <c r="G59" s="26" t="s">
        <v>201</v>
      </c>
      <c r="H59" s="26" t="s">
        <v>210</v>
      </c>
      <c r="I59" s="27" t="n">
        <f aca="false">SUMIFS('DWV Model'!$G$6:$G$41,'DWV Model'!$B$6:$B$41,$F59,'DWV Model'!$D$6:$D$41,"New ABS",'DWV Model'!$E$6:$E$41,4)</f>
        <v>43.513205</v>
      </c>
      <c r="J59" s="26" t="s">
        <v>203</v>
      </c>
      <c r="K59" s="26" t="s">
        <v>204</v>
      </c>
      <c r="L59" s="26" t="s">
        <v>205</v>
      </c>
      <c r="M59" s="26" t="s">
        <v>206</v>
      </c>
    </row>
    <row r="60" customFormat="false" ht="33.75" hidden="false" customHeight="true" outlineLevel="0" collapsed="false">
      <c r="B60" s="26" t="s">
        <v>302</v>
      </c>
      <c r="C60" s="26" t="s">
        <v>198</v>
      </c>
      <c r="D60" s="26" t="s">
        <v>199</v>
      </c>
      <c r="E60" s="26" t="s">
        <v>200</v>
      </c>
      <c r="F60" s="26" t="s">
        <v>21</v>
      </c>
      <c r="G60" s="26" t="s">
        <v>201</v>
      </c>
      <c r="H60" s="26" t="s">
        <v>212</v>
      </c>
      <c r="I60" s="27" t="n">
        <f aca="false">SUMIFS('DWV Model'!$G$6:$G$41,'DWV Model'!$B$6:$B$41,$F60,'DWV Model'!$D$6:$D$41,"New ABS",'DWV Model'!$E$6:$E$41,6)</f>
        <v>1.500325</v>
      </c>
      <c r="J60" s="26" t="s">
        <v>203</v>
      </c>
      <c r="K60" s="26" t="s">
        <v>204</v>
      </c>
      <c r="L60" s="26" t="s">
        <v>205</v>
      </c>
      <c r="M60" s="26" t="s">
        <v>206</v>
      </c>
    </row>
    <row r="61" customFormat="false" ht="33.75" hidden="false" customHeight="true" outlineLevel="0" collapsed="false">
      <c r="B61" s="22" t="s">
        <v>303</v>
      </c>
      <c r="C61" s="22" t="s">
        <v>198</v>
      </c>
      <c r="D61" s="22" t="s">
        <v>214</v>
      </c>
      <c r="E61" s="22" t="s">
        <v>215</v>
      </c>
      <c r="F61" s="22" t="s">
        <v>21</v>
      </c>
      <c r="G61" s="22" t="s">
        <v>216</v>
      </c>
      <c r="H61" s="22" t="s">
        <v>217</v>
      </c>
      <c r="I61" s="23" t="n">
        <v>1</v>
      </c>
      <c r="J61" s="22" t="s">
        <v>218</v>
      </c>
      <c r="K61" s="22" t="s">
        <v>219</v>
      </c>
      <c r="L61" s="22" t="s">
        <v>205</v>
      </c>
      <c r="M61" s="22" t="s">
        <v>220</v>
      </c>
    </row>
    <row r="62" customFormat="false" ht="33.75" hidden="false" customHeight="true" outlineLevel="0" collapsed="false">
      <c r="B62" s="20" t="s">
        <v>304</v>
      </c>
      <c r="C62" s="20" t="s">
        <v>198</v>
      </c>
      <c r="D62" s="20" t="s">
        <v>214</v>
      </c>
      <c r="E62" s="20" t="s">
        <v>215</v>
      </c>
      <c r="F62" s="20" t="s">
        <v>21</v>
      </c>
      <c r="G62" s="20" t="s">
        <v>216</v>
      </c>
      <c r="H62" s="20" t="s">
        <v>222</v>
      </c>
      <c r="I62" s="21" t="n">
        <v>2</v>
      </c>
      <c r="J62" s="20" t="s">
        <v>218</v>
      </c>
      <c r="K62" s="20" t="s">
        <v>219</v>
      </c>
      <c r="L62" s="20" t="s">
        <v>205</v>
      </c>
      <c r="M62" s="20" t="s">
        <v>223</v>
      </c>
    </row>
    <row r="63" customFormat="false" ht="33.75" hidden="false" customHeight="true" outlineLevel="0" collapsed="false">
      <c r="B63" s="22" t="s">
        <v>305</v>
      </c>
      <c r="C63" s="22" t="s">
        <v>198</v>
      </c>
      <c r="D63" s="22" t="s">
        <v>214</v>
      </c>
      <c r="E63" s="22" t="s">
        <v>215</v>
      </c>
      <c r="F63" s="22" t="s">
        <v>21</v>
      </c>
      <c r="G63" s="22" t="s">
        <v>216</v>
      </c>
      <c r="H63" s="22" t="s">
        <v>225</v>
      </c>
      <c r="I63" s="23" t="n">
        <v>1</v>
      </c>
      <c r="J63" s="22" t="s">
        <v>218</v>
      </c>
      <c r="K63" s="22" t="s">
        <v>219</v>
      </c>
      <c r="L63" s="22" t="s">
        <v>205</v>
      </c>
      <c r="M63" s="22" t="s">
        <v>226</v>
      </c>
    </row>
    <row r="64" customFormat="false" ht="33.75" hidden="false" customHeight="true" outlineLevel="0" collapsed="false">
      <c r="B64" s="20" t="s">
        <v>306</v>
      </c>
      <c r="C64" s="20" t="s">
        <v>198</v>
      </c>
      <c r="D64" s="20" t="s">
        <v>214</v>
      </c>
      <c r="E64" s="20" t="s">
        <v>215</v>
      </c>
      <c r="F64" s="20" t="s">
        <v>21</v>
      </c>
      <c r="G64" s="20" t="s">
        <v>216</v>
      </c>
      <c r="H64" s="20" t="s">
        <v>228</v>
      </c>
      <c r="I64" s="21" t="n">
        <v>1</v>
      </c>
      <c r="J64" s="20" t="s">
        <v>218</v>
      </c>
      <c r="K64" s="20" t="s">
        <v>219</v>
      </c>
      <c r="L64" s="20" t="s">
        <v>205</v>
      </c>
      <c r="M64" s="20" t="s">
        <v>229</v>
      </c>
    </row>
    <row r="65" customFormat="false" ht="33.75" hidden="false" customHeight="true" outlineLevel="0" collapsed="false">
      <c r="B65" s="22" t="s">
        <v>307</v>
      </c>
      <c r="C65" s="22" t="s">
        <v>198</v>
      </c>
      <c r="D65" s="22" t="s">
        <v>214</v>
      </c>
      <c r="E65" s="22" t="s">
        <v>215</v>
      </c>
      <c r="F65" s="22" t="s">
        <v>21</v>
      </c>
      <c r="G65" s="22" t="s">
        <v>216</v>
      </c>
      <c r="H65" s="22" t="s">
        <v>231</v>
      </c>
      <c r="I65" s="23" t="n">
        <v>2</v>
      </c>
      <c r="J65" s="22" t="s">
        <v>218</v>
      </c>
      <c r="K65" s="22" t="s">
        <v>219</v>
      </c>
      <c r="L65" s="22" t="s">
        <v>205</v>
      </c>
      <c r="M65" s="22" t="s">
        <v>232</v>
      </c>
    </row>
    <row r="66" customFormat="false" ht="33.75" hidden="false" customHeight="true" outlineLevel="0" collapsed="false">
      <c r="B66" s="20" t="s">
        <v>308</v>
      </c>
      <c r="C66" s="20" t="s">
        <v>198</v>
      </c>
      <c r="D66" s="20" t="s">
        <v>214</v>
      </c>
      <c r="E66" s="20" t="s">
        <v>215</v>
      </c>
      <c r="F66" s="20" t="s">
        <v>21</v>
      </c>
      <c r="G66" s="20" t="s">
        <v>216</v>
      </c>
      <c r="H66" s="20" t="s">
        <v>234</v>
      </c>
      <c r="I66" s="21" t="n">
        <v>1</v>
      </c>
      <c r="J66" s="20" t="s">
        <v>218</v>
      </c>
      <c r="K66" s="20" t="s">
        <v>219</v>
      </c>
      <c r="L66" s="20" t="s">
        <v>205</v>
      </c>
      <c r="M66" s="20" t="s">
        <v>235</v>
      </c>
    </row>
    <row r="67" customFormat="false" ht="33.75" hidden="false" customHeight="true" outlineLevel="0" collapsed="false">
      <c r="B67" s="22" t="s">
        <v>309</v>
      </c>
      <c r="C67" s="22" t="s">
        <v>198</v>
      </c>
      <c r="D67" s="22" t="s">
        <v>214</v>
      </c>
      <c r="E67" s="22" t="s">
        <v>215</v>
      </c>
      <c r="F67" s="22" t="s">
        <v>21</v>
      </c>
      <c r="G67" s="22" t="s">
        <v>216</v>
      </c>
      <c r="H67" s="22" t="s">
        <v>237</v>
      </c>
      <c r="I67" s="23" t="n">
        <v>1</v>
      </c>
      <c r="J67" s="22" t="s">
        <v>218</v>
      </c>
      <c r="K67" s="22" t="s">
        <v>219</v>
      </c>
      <c r="L67" s="22" t="s">
        <v>205</v>
      </c>
      <c r="M67" s="22" t="s">
        <v>238</v>
      </c>
    </row>
    <row r="68" customFormat="false" ht="33.75" hidden="false" customHeight="true" outlineLevel="0" collapsed="false">
      <c r="B68" s="26" t="s">
        <v>310</v>
      </c>
      <c r="C68" s="26" t="s">
        <v>198</v>
      </c>
      <c r="D68" s="26" t="s">
        <v>199</v>
      </c>
      <c r="E68" s="26" t="s">
        <v>240</v>
      </c>
      <c r="F68" s="26" t="s">
        <v>21</v>
      </c>
      <c r="G68" s="26" t="s">
        <v>241</v>
      </c>
      <c r="H68" s="26" t="s">
        <v>242</v>
      </c>
      <c r="I68" s="27" t="n">
        <v>3</v>
      </c>
      <c r="J68" s="26" t="s">
        <v>218</v>
      </c>
      <c r="K68" s="26" t="s">
        <v>204</v>
      </c>
      <c r="L68" s="26" t="s">
        <v>205</v>
      </c>
      <c r="M68" s="26" t="s">
        <v>243</v>
      </c>
    </row>
    <row r="69" customFormat="false" ht="33.75" hidden="false" customHeight="true" outlineLevel="0" collapsed="false">
      <c r="B69" s="26" t="s">
        <v>311</v>
      </c>
      <c r="C69" s="26" t="s">
        <v>198</v>
      </c>
      <c r="D69" s="26" t="s">
        <v>199</v>
      </c>
      <c r="E69" s="26" t="s">
        <v>240</v>
      </c>
      <c r="F69" s="26" t="s">
        <v>21</v>
      </c>
      <c r="G69" s="26" t="s">
        <v>241</v>
      </c>
      <c r="H69" s="26" t="s">
        <v>245</v>
      </c>
      <c r="I69" s="27" t="n">
        <v>3</v>
      </c>
      <c r="J69" s="26" t="s">
        <v>218</v>
      </c>
      <c r="K69" s="26" t="s">
        <v>204</v>
      </c>
      <c r="L69" s="26" t="s">
        <v>205</v>
      </c>
      <c r="M69" s="26" t="s">
        <v>246</v>
      </c>
    </row>
    <row r="70" customFormat="false" ht="33.75" hidden="false" customHeight="true" outlineLevel="0" collapsed="false">
      <c r="B70" s="26" t="s">
        <v>312</v>
      </c>
      <c r="C70" s="26" t="s">
        <v>198</v>
      </c>
      <c r="D70" s="26" t="s">
        <v>199</v>
      </c>
      <c r="E70" s="26" t="s">
        <v>240</v>
      </c>
      <c r="F70" s="26" t="s">
        <v>21</v>
      </c>
      <c r="G70" s="26" t="s">
        <v>241</v>
      </c>
      <c r="H70" s="26" t="s">
        <v>248</v>
      </c>
      <c r="I70" s="27" t="n">
        <v>1</v>
      </c>
      <c r="J70" s="26" t="s">
        <v>218</v>
      </c>
      <c r="K70" s="26" t="s">
        <v>204</v>
      </c>
      <c r="L70" s="26" t="s">
        <v>205</v>
      </c>
      <c r="M70" s="26" t="s">
        <v>249</v>
      </c>
    </row>
    <row r="71" customFormat="false" ht="33.75" hidden="false" customHeight="true" outlineLevel="0" collapsed="false">
      <c r="B71" s="26" t="s">
        <v>313</v>
      </c>
      <c r="C71" s="26" t="s">
        <v>198</v>
      </c>
      <c r="D71" s="26" t="s">
        <v>199</v>
      </c>
      <c r="E71" s="26" t="s">
        <v>240</v>
      </c>
      <c r="F71" s="26" t="s">
        <v>21</v>
      </c>
      <c r="G71" s="26" t="s">
        <v>241</v>
      </c>
      <c r="H71" s="26" t="s">
        <v>251</v>
      </c>
      <c r="I71" s="27" t="n">
        <v>1</v>
      </c>
      <c r="J71" s="26" t="s">
        <v>218</v>
      </c>
      <c r="K71" s="26" t="s">
        <v>204</v>
      </c>
      <c r="L71" s="26" t="s">
        <v>205</v>
      </c>
      <c r="M71" s="26" t="s">
        <v>252</v>
      </c>
    </row>
    <row r="72" customFormat="false" ht="33.75" hidden="false" customHeight="true" outlineLevel="0" collapsed="false">
      <c r="B72" s="26" t="s">
        <v>314</v>
      </c>
      <c r="C72" s="26" t="s">
        <v>198</v>
      </c>
      <c r="D72" s="26" t="s">
        <v>199</v>
      </c>
      <c r="E72" s="26" t="s">
        <v>240</v>
      </c>
      <c r="F72" s="26" t="s">
        <v>21</v>
      </c>
      <c r="G72" s="26" t="s">
        <v>241</v>
      </c>
      <c r="H72" s="26" t="s">
        <v>254</v>
      </c>
      <c r="I72" s="27" t="n">
        <v>1</v>
      </c>
      <c r="J72" s="26" t="s">
        <v>218</v>
      </c>
      <c r="K72" s="26" t="s">
        <v>204</v>
      </c>
      <c r="L72" s="26" t="s">
        <v>205</v>
      </c>
      <c r="M72" s="26" t="s">
        <v>255</v>
      </c>
    </row>
    <row r="73" customFormat="false" ht="33.75" hidden="false" customHeight="true" outlineLevel="0" collapsed="false">
      <c r="B73" s="22" t="s">
        <v>315</v>
      </c>
      <c r="C73" s="22" t="s">
        <v>257</v>
      </c>
      <c r="D73" s="22" t="s">
        <v>199</v>
      </c>
      <c r="E73" s="22" t="s">
        <v>258</v>
      </c>
      <c r="F73" s="22" t="s">
        <v>21</v>
      </c>
      <c r="G73" s="22" t="s">
        <v>259</v>
      </c>
      <c r="H73" s="22" t="s">
        <v>260</v>
      </c>
      <c r="I73" s="23" t="n">
        <v>1</v>
      </c>
      <c r="J73" s="22" t="s">
        <v>261</v>
      </c>
      <c r="K73" s="22" t="s">
        <v>262</v>
      </c>
      <c r="L73" s="22" t="s">
        <v>263</v>
      </c>
      <c r="M73" s="22" t="s">
        <v>264</v>
      </c>
    </row>
    <row r="74" customFormat="false" ht="33.75" hidden="false" customHeight="true" outlineLevel="0" collapsed="false">
      <c r="B74" s="28" t="s">
        <v>316</v>
      </c>
      <c r="C74" s="28" t="s">
        <v>38</v>
      </c>
      <c r="D74" s="28" t="s">
        <v>317</v>
      </c>
      <c r="E74" s="28" t="s">
        <v>52</v>
      </c>
      <c r="F74" s="28" t="s">
        <v>18</v>
      </c>
      <c r="G74" s="28" t="s">
        <v>48</v>
      </c>
      <c r="H74" s="28" t="s">
        <v>318</v>
      </c>
      <c r="I74" s="29" t="n">
        <f aca="false">'Finish Allowances'!G6</f>
        <v>253</v>
      </c>
      <c r="J74" s="28" t="s">
        <v>51</v>
      </c>
      <c r="K74" s="28" t="s">
        <v>319</v>
      </c>
      <c r="L74" s="28" t="s">
        <v>53</v>
      </c>
      <c r="M74" s="28" t="s">
        <v>320</v>
      </c>
    </row>
    <row r="75" customFormat="false" ht="33.75" hidden="false" customHeight="true" outlineLevel="0" collapsed="false">
      <c r="B75" s="28" t="s">
        <v>321</v>
      </c>
      <c r="C75" s="28" t="s">
        <v>38</v>
      </c>
      <c r="D75" s="28" t="s">
        <v>317</v>
      </c>
      <c r="E75" s="28" t="s">
        <v>52</v>
      </c>
      <c r="F75" s="28" t="s">
        <v>18</v>
      </c>
      <c r="G75" s="28" t="s">
        <v>48</v>
      </c>
      <c r="H75" s="28" t="s">
        <v>322</v>
      </c>
      <c r="I75" s="29" t="n">
        <f aca="false">'Finish Allowances'!G7</f>
        <v>25</v>
      </c>
      <c r="J75" s="28" t="s">
        <v>51</v>
      </c>
      <c r="K75" s="28" t="s">
        <v>319</v>
      </c>
      <c r="L75" s="28" t="s">
        <v>53</v>
      </c>
      <c r="M75" s="28" t="s">
        <v>320</v>
      </c>
    </row>
    <row r="76" customFormat="false" ht="33.75" hidden="false" customHeight="true" outlineLevel="0" collapsed="false">
      <c r="B76" s="28" t="s">
        <v>323</v>
      </c>
      <c r="C76" s="28" t="s">
        <v>38</v>
      </c>
      <c r="D76" s="28" t="s">
        <v>317</v>
      </c>
      <c r="E76" s="28" t="s">
        <v>52</v>
      </c>
      <c r="F76" s="28" t="s">
        <v>18</v>
      </c>
      <c r="G76" s="28" t="s">
        <v>59</v>
      </c>
      <c r="H76" s="28" t="s">
        <v>324</v>
      </c>
      <c r="I76" s="29" t="n">
        <f aca="false">'Finish Allowances'!G8</f>
        <v>105</v>
      </c>
      <c r="J76" s="28" t="s">
        <v>51</v>
      </c>
      <c r="K76" s="28" t="s">
        <v>319</v>
      </c>
      <c r="L76" s="28" t="s">
        <v>53</v>
      </c>
      <c r="M76" s="28" t="s">
        <v>320</v>
      </c>
    </row>
    <row r="77" customFormat="false" ht="33.75" hidden="false" customHeight="true" outlineLevel="0" collapsed="false">
      <c r="B77" s="28" t="s">
        <v>325</v>
      </c>
      <c r="C77" s="28" t="s">
        <v>38</v>
      </c>
      <c r="D77" s="28" t="s">
        <v>317</v>
      </c>
      <c r="E77" s="28" t="s">
        <v>65</v>
      </c>
      <c r="F77" s="28" t="s">
        <v>18</v>
      </c>
      <c r="G77" s="28" t="s">
        <v>59</v>
      </c>
      <c r="H77" s="28" t="s">
        <v>326</v>
      </c>
      <c r="I77" s="29" t="n">
        <f aca="false">'Finish Allowances'!G9</f>
        <v>60</v>
      </c>
      <c r="J77" s="28" t="s">
        <v>51</v>
      </c>
      <c r="K77" s="28" t="s">
        <v>319</v>
      </c>
      <c r="L77" s="28" t="s">
        <v>53</v>
      </c>
      <c r="M77" s="28" t="s">
        <v>320</v>
      </c>
    </row>
    <row r="78" customFormat="false" ht="33.75" hidden="false" customHeight="true" outlineLevel="0" collapsed="false">
      <c r="B78" s="28" t="s">
        <v>327</v>
      </c>
      <c r="C78" s="28" t="s">
        <v>38</v>
      </c>
      <c r="D78" s="28" t="s">
        <v>317</v>
      </c>
      <c r="E78" s="28" t="s">
        <v>52</v>
      </c>
      <c r="F78" s="28" t="s">
        <v>19</v>
      </c>
      <c r="G78" s="28" t="s">
        <v>59</v>
      </c>
      <c r="H78" s="28" t="s">
        <v>328</v>
      </c>
      <c r="I78" s="29" t="n">
        <f aca="false">'Finish Allowances'!G10</f>
        <v>62</v>
      </c>
      <c r="J78" s="28" t="s">
        <v>51</v>
      </c>
      <c r="K78" s="28" t="s">
        <v>319</v>
      </c>
      <c r="L78" s="28" t="s">
        <v>69</v>
      </c>
      <c r="M78" s="28" t="s">
        <v>320</v>
      </c>
    </row>
    <row r="79" customFormat="false" ht="33.75" hidden="false" customHeight="true" outlineLevel="0" collapsed="false">
      <c r="B79" s="28" t="s">
        <v>329</v>
      </c>
      <c r="C79" s="28" t="s">
        <v>38</v>
      </c>
      <c r="D79" s="28" t="s">
        <v>317</v>
      </c>
      <c r="E79" s="28" t="s">
        <v>52</v>
      </c>
      <c r="F79" s="28" t="s">
        <v>19</v>
      </c>
      <c r="G79" s="28" t="s">
        <v>59</v>
      </c>
      <c r="H79" s="28" t="s">
        <v>330</v>
      </c>
      <c r="I79" s="29" t="n">
        <f aca="false">'Finish Allowances'!G11</f>
        <v>25</v>
      </c>
      <c r="J79" s="28" t="s">
        <v>51</v>
      </c>
      <c r="K79" s="28" t="s">
        <v>319</v>
      </c>
      <c r="L79" s="28" t="s">
        <v>69</v>
      </c>
      <c r="M79" s="28" t="s">
        <v>320</v>
      </c>
    </row>
    <row r="80" customFormat="false" ht="33.75" hidden="false" customHeight="true" outlineLevel="0" collapsed="false">
      <c r="B80" s="28" t="s">
        <v>331</v>
      </c>
      <c r="C80" s="28" t="s">
        <v>38</v>
      </c>
      <c r="D80" s="28" t="s">
        <v>317</v>
      </c>
      <c r="E80" s="28" t="s">
        <v>52</v>
      </c>
      <c r="F80" s="28" t="s">
        <v>19</v>
      </c>
      <c r="G80" s="28" t="s">
        <v>74</v>
      </c>
      <c r="H80" s="28" t="s">
        <v>332</v>
      </c>
      <c r="I80" s="29" t="n">
        <f aca="false">'Finish Allowances'!G12</f>
        <v>75</v>
      </c>
      <c r="J80" s="28" t="s">
        <v>51</v>
      </c>
      <c r="K80" s="28" t="s">
        <v>319</v>
      </c>
      <c r="L80" s="28" t="s">
        <v>69</v>
      </c>
      <c r="M80" s="28" t="s">
        <v>320</v>
      </c>
    </row>
    <row r="81" customFormat="false" ht="33.75" hidden="false" customHeight="true" outlineLevel="0" collapsed="false">
      <c r="B81" s="28" t="s">
        <v>333</v>
      </c>
      <c r="C81" s="28" t="s">
        <v>38</v>
      </c>
      <c r="D81" s="28" t="s">
        <v>317</v>
      </c>
      <c r="E81" s="28" t="s">
        <v>52</v>
      </c>
      <c r="F81" s="28" t="s">
        <v>19</v>
      </c>
      <c r="G81" s="28" t="s">
        <v>48</v>
      </c>
      <c r="H81" s="28" t="s">
        <v>334</v>
      </c>
      <c r="I81" s="29" t="n">
        <f aca="false">'Finish Allowances'!G13</f>
        <v>18</v>
      </c>
      <c r="J81" s="28" t="s">
        <v>51</v>
      </c>
      <c r="K81" s="28" t="s">
        <v>319</v>
      </c>
      <c r="L81" s="28" t="s">
        <v>80</v>
      </c>
      <c r="M81" s="28" t="s">
        <v>320</v>
      </c>
    </row>
    <row r="82" customFormat="false" ht="33.75" hidden="false" customHeight="true" outlineLevel="0" collapsed="false">
      <c r="B82" s="28" t="s">
        <v>335</v>
      </c>
      <c r="C82" s="28" t="s">
        <v>38</v>
      </c>
      <c r="D82" s="28" t="s">
        <v>317</v>
      </c>
      <c r="E82" s="28" t="s">
        <v>52</v>
      </c>
      <c r="F82" s="28" t="s">
        <v>19</v>
      </c>
      <c r="G82" s="28" t="s">
        <v>48</v>
      </c>
      <c r="H82" s="28" t="s">
        <v>336</v>
      </c>
      <c r="I82" s="29" t="n">
        <f aca="false">'Finish Allowances'!G14</f>
        <v>128</v>
      </c>
      <c r="J82" s="28" t="s">
        <v>51</v>
      </c>
      <c r="K82" s="28" t="s">
        <v>319</v>
      </c>
      <c r="L82" s="28" t="s">
        <v>80</v>
      </c>
      <c r="M82" s="28" t="s">
        <v>320</v>
      </c>
    </row>
    <row r="83" customFormat="false" ht="33.75" hidden="false" customHeight="true" outlineLevel="0" collapsed="false">
      <c r="B83" s="28" t="s">
        <v>337</v>
      </c>
      <c r="C83" s="28" t="s">
        <v>38</v>
      </c>
      <c r="D83" s="28" t="s">
        <v>317</v>
      </c>
      <c r="E83" s="28" t="s">
        <v>52</v>
      </c>
      <c r="F83" s="28" t="s">
        <v>19</v>
      </c>
      <c r="G83" s="28" t="s">
        <v>48</v>
      </c>
      <c r="H83" s="28" t="s">
        <v>338</v>
      </c>
      <c r="I83" s="29" t="n">
        <f aca="false">'Finish Allowances'!G15</f>
        <v>16</v>
      </c>
      <c r="J83" s="28" t="s">
        <v>51</v>
      </c>
      <c r="K83" s="28" t="s">
        <v>319</v>
      </c>
      <c r="L83" s="28" t="s">
        <v>80</v>
      </c>
      <c r="M83" s="28" t="s">
        <v>320</v>
      </c>
    </row>
    <row r="84" customFormat="false" ht="33.75" hidden="false" customHeight="true" outlineLevel="0" collapsed="false">
      <c r="B84" s="28" t="s">
        <v>339</v>
      </c>
      <c r="C84" s="28" t="s">
        <v>38</v>
      </c>
      <c r="D84" s="28" t="s">
        <v>317</v>
      </c>
      <c r="E84" s="28" t="s">
        <v>52</v>
      </c>
      <c r="F84" s="28" t="s">
        <v>19</v>
      </c>
      <c r="G84" s="28" t="s">
        <v>88</v>
      </c>
      <c r="H84" s="28" t="s">
        <v>340</v>
      </c>
      <c r="I84" s="29" t="n">
        <f aca="false">'Finish Allowances'!G16</f>
        <v>128</v>
      </c>
      <c r="J84" s="28" t="s">
        <v>51</v>
      </c>
      <c r="K84" s="28" t="s">
        <v>319</v>
      </c>
      <c r="L84" s="28" t="s">
        <v>91</v>
      </c>
      <c r="M84" s="28" t="s">
        <v>320</v>
      </c>
    </row>
    <row r="85" customFormat="false" ht="33.75" hidden="false" customHeight="true" outlineLevel="0" collapsed="false">
      <c r="B85" s="28" t="s">
        <v>341</v>
      </c>
      <c r="C85" s="28" t="s">
        <v>38</v>
      </c>
      <c r="D85" s="28" t="s">
        <v>317</v>
      </c>
      <c r="E85" s="28" t="s">
        <v>96</v>
      </c>
      <c r="F85" s="28" t="s">
        <v>19</v>
      </c>
      <c r="G85" s="28" t="s">
        <v>93</v>
      </c>
      <c r="H85" s="28" t="s">
        <v>342</v>
      </c>
      <c r="I85" s="29" t="n">
        <f aca="false">'Finish Allowances'!G17</f>
        <v>255</v>
      </c>
      <c r="J85" s="28" t="s">
        <v>51</v>
      </c>
      <c r="K85" s="28" t="s">
        <v>319</v>
      </c>
      <c r="L85" s="28" t="s">
        <v>69</v>
      </c>
      <c r="M85" s="28" t="s">
        <v>320</v>
      </c>
    </row>
    <row r="86" customFormat="false" ht="33.75" hidden="false" customHeight="true" outlineLevel="0" collapsed="false">
      <c r="B86" s="28" t="s">
        <v>343</v>
      </c>
      <c r="C86" s="28" t="s">
        <v>38</v>
      </c>
      <c r="D86" s="28" t="s">
        <v>317</v>
      </c>
      <c r="E86" s="28" t="s">
        <v>52</v>
      </c>
      <c r="F86" s="28" t="s">
        <v>20</v>
      </c>
      <c r="G86" s="28" t="s">
        <v>98</v>
      </c>
      <c r="H86" s="28" t="s">
        <v>344</v>
      </c>
      <c r="I86" s="29" t="n">
        <f aca="false">'Finish Allowances'!G18</f>
        <v>91</v>
      </c>
      <c r="J86" s="28" t="s">
        <v>51</v>
      </c>
      <c r="K86" s="28" t="s">
        <v>319</v>
      </c>
      <c r="L86" s="28" t="s">
        <v>101</v>
      </c>
      <c r="M86" s="28" t="s">
        <v>320</v>
      </c>
    </row>
    <row r="87" customFormat="false" ht="33.75" hidden="false" customHeight="true" outlineLevel="0" collapsed="false">
      <c r="B87" s="28" t="s">
        <v>345</v>
      </c>
      <c r="C87" s="28" t="s">
        <v>38</v>
      </c>
      <c r="D87" s="28" t="s">
        <v>317</v>
      </c>
      <c r="E87" s="28" t="s">
        <v>52</v>
      </c>
      <c r="F87" s="28" t="s">
        <v>20</v>
      </c>
      <c r="G87" s="28" t="s">
        <v>59</v>
      </c>
      <c r="H87" s="28" t="s">
        <v>346</v>
      </c>
      <c r="I87" s="29" t="n">
        <f aca="false">'Finish Allowances'!G19</f>
        <v>16</v>
      </c>
      <c r="J87" s="28" t="s">
        <v>51</v>
      </c>
      <c r="K87" s="28" t="s">
        <v>319</v>
      </c>
      <c r="L87" s="28" t="s">
        <v>105</v>
      </c>
      <c r="M87" s="28" t="s">
        <v>320</v>
      </c>
    </row>
    <row r="88" customFormat="false" ht="33.75" hidden="false" customHeight="true" outlineLevel="0" collapsed="false">
      <c r="B88" s="28" t="s">
        <v>347</v>
      </c>
      <c r="C88" s="28" t="s">
        <v>38</v>
      </c>
      <c r="D88" s="28" t="s">
        <v>317</v>
      </c>
      <c r="E88" s="28" t="s">
        <v>52</v>
      </c>
      <c r="F88" s="28" t="s">
        <v>20</v>
      </c>
      <c r="G88" s="28" t="s">
        <v>98</v>
      </c>
      <c r="H88" s="28" t="s">
        <v>348</v>
      </c>
      <c r="I88" s="29" t="n">
        <f aca="false">'Finish Allowances'!G20</f>
        <v>456</v>
      </c>
      <c r="J88" s="28" t="s">
        <v>51</v>
      </c>
      <c r="K88" s="28" t="s">
        <v>319</v>
      </c>
      <c r="L88" s="28" t="s">
        <v>105</v>
      </c>
      <c r="M88" s="28" t="s">
        <v>320</v>
      </c>
    </row>
    <row r="89" customFormat="false" ht="33.75" hidden="false" customHeight="true" outlineLevel="0" collapsed="false">
      <c r="B89" s="28" t="s">
        <v>349</v>
      </c>
      <c r="C89" s="28" t="s">
        <v>38</v>
      </c>
      <c r="D89" s="28" t="s">
        <v>317</v>
      </c>
      <c r="E89" s="28" t="s">
        <v>52</v>
      </c>
      <c r="F89" s="28" t="s">
        <v>20</v>
      </c>
      <c r="G89" s="28" t="s">
        <v>110</v>
      </c>
      <c r="H89" s="28" t="s">
        <v>350</v>
      </c>
      <c r="I89" s="29" t="n">
        <f aca="false">'Finish Allowances'!G21</f>
        <v>31</v>
      </c>
      <c r="J89" s="28" t="s">
        <v>51</v>
      </c>
      <c r="K89" s="28" t="s">
        <v>319</v>
      </c>
      <c r="L89" s="28" t="s">
        <v>105</v>
      </c>
      <c r="M89" s="28" t="s">
        <v>320</v>
      </c>
    </row>
    <row r="90" customFormat="false" ht="33.75" hidden="false" customHeight="true" outlineLevel="0" collapsed="false">
      <c r="B90" s="28" t="s">
        <v>351</v>
      </c>
      <c r="C90" s="28" t="s">
        <v>38</v>
      </c>
      <c r="D90" s="28" t="s">
        <v>317</v>
      </c>
      <c r="E90" s="28" t="s">
        <v>52</v>
      </c>
      <c r="F90" s="28" t="s">
        <v>20</v>
      </c>
      <c r="G90" s="28" t="s">
        <v>114</v>
      </c>
      <c r="H90" s="28" t="s">
        <v>352</v>
      </c>
      <c r="I90" s="29" t="n">
        <f aca="false">'Finish Allowances'!G22</f>
        <v>397</v>
      </c>
      <c r="J90" s="28" t="s">
        <v>51</v>
      </c>
      <c r="K90" s="28" t="s">
        <v>319</v>
      </c>
      <c r="L90" s="28" t="s">
        <v>105</v>
      </c>
      <c r="M90" s="28" t="s">
        <v>320</v>
      </c>
    </row>
    <row r="91" customFormat="false" ht="33.75" hidden="false" customHeight="true" outlineLevel="0" collapsed="false">
      <c r="B91" s="28" t="s">
        <v>353</v>
      </c>
      <c r="C91" s="28" t="s">
        <v>38</v>
      </c>
      <c r="D91" s="28" t="s">
        <v>317</v>
      </c>
      <c r="E91" s="28" t="s">
        <v>52</v>
      </c>
      <c r="F91" s="28" t="s">
        <v>21</v>
      </c>
      <c r="G91" s="28" t="s">
        <v>118</v>
      </c>
      <c r="H91" s="28" t="s">
        <v>354</v>
      </c>
      <c r="I91" s="29" t="n">
        <f aca="false">'Finish Allowances'!G23</f>
        <v>80</v>
      </c>
      <c r="J91" s="28" t="s">
        <v>51</v>
      </c>
      <c r="K91" s="28" t="s">
        <v>319</v>
      </c>
      <c r="L91" s="28" t="s">
        <v>121</v>
      </c>
      <c r="M91" s="28" t="s">
        <v>320</v>
      </c>
    </row>
    <row r="92" customFormat="false" ht="33.75" hidden="false" customHeight="true" outlineLevel="0" collapsed="false">
      <c r="B92" s="28" t="s">
        <v>355</v>
      </c>
      <c r="C92" s="28" t="s">
        <v>38</v>
      </c>
      <c r="D92" s="28" t="s">
        <v>317</v>
      </c>
      <c r="E92" s="28" t="s">
        <v>52</v>
      </c>
      <c r="F92" s="28" t="s">
        <v>21</v>
      </c>
      <c r="G92" s="28" t="s">
        <v>48</v>
      </c>
      <c r="H92" s="28" t="s">
        <v>356</v>
      </c>
      <c r="I92" s="29" t="n">
        <f aca="false">'Finish Allowances'!G24</f>
        <v>60</v>
      </c>
      <c r="J92" s="28" t="s">
        <v>51</v>
      </c>
      <c r="K92" s="28" t="s">
        <v>319</v>
      </c>
      <c r="L92" s="28" t="s">
        <v>121</v>
      </c>
      <c r="M92" s="28" t="s">
        <v>320</v>
      </c>
    </row>
    <row r="93" customFormat="false" ht="33.75" hidden="false" customHeight="true" outlineLevel="0" collapsed="false">
      <c r="B93" s="28" t="s">
        <v>357</v>
      </c>
      <c r="C93" s="28" t="s">
        <v>38</v>
      </c>
      <c r="D93" s="28" t="s">
        <v>317</v>
      </c>
      <c r="E93" s="28" t="s">
        <v>52</v>
      </c>
      <c r="F93" s="28" t="s">
        <v>21</v>
      </c>
      <c r="G93" s="28" t="s">
        <v>59</v>
      </c>
      <c r="H93" s="28" t="s">
        <v>358</v>
      </c>
      <c r="I93" s="29" t="n">
        <f aca="false">'Finish Allowances'!G25</f>
        <v>20</v>
      </c>
      <c r="J93" s="28" t="s">
        <v>51</v>
      </c>
      <c r="K93" s="28" t="s">
        <v>319</v>
      </c>
      <c r="L93" s="28" t="s">
        <v>128</v>
      </c>
      <c r="M93" s="28" t="s">
        <v>320</v>
      </c>
    </row>
    <row r="94" customFormat="false" ht="33.75" hidden="false" customHeight="true" outlineLevel="0" collapsed="false">
      <c r="B94" s="28" t="s">
        <v>359</v>
      </c>
      <c r="C94" s="28" t="s">
        <v>38</v>
      </c>
      <c r="D94" s="28" t="s">
        <v>317</v>
      </c>
      <c r="E94" s="28" t="s">
        <v>52</v>
      </c>
      <c r="F94" s="28" t="s">
        <v>21</v>
      </c>
      <c r="G94" s="28" t="s">
        <v>130</v>
      </c>
      <c r="H94" s="28" t="s">
        <v>360</v>
      </c>
      <c r="I94" s="29" t="n">
        <f aca="false">'Finish Allowances'!G26</f>
        <v>246</v>
      </c>
      <c r="J94" s="28" t="s">
        <v>51</v>
      </c>
      <c r="K94" s="28" t="s">
        <v>319</v>
      </c>
      <c r="L94" s="28" t="s">
        <v>128</v>
      </c>
      <c r="M94" s="28" t="s">
        <v>320</v>
      </c>
    </row>
    <row r="95" customFormat="false" ht="33.75" hidden="false" customHeight="true" outlineLevel="0" collapsed="false">
      <c r="B95" s="28" t="s">
        <v>361</v>
      </c>
      <c r="C95" s="28" t="s">
        <v>38</v>
      </c>
      <c r="D95" s="28" t="s">
        <v>317</v>
      </c>
      <c r="E95" s="28" t="s">
        <v>96</v>
      </c>
      <c r="F95" s="28" t="s">
        <v>21</v>
      </c>
      <c r="G95" s="28" t="s">
        <v>133</v>
      </c>
      <c r="H95" s="28" t="s">
        <v>362</v>
      </c>
      <c r="I95" s="29" t="n">
        <f aca="false">'Finish Allowances'!G27</f>
        <v>1529</v>
      </c>
      <c r="J95" s="28" t="s">
        <v>51</v>
      </c>
      <c r="K95" s="28" t="s">
        <v>319</v>
      </c>
      <c r="L95" s="28" t="s">
        <v>136</v>
      </c>
      <c r="M95" s="28" t="s">
        <v>320</v>
      </c>
    </row>
    <row r="96" customFormat="false" ht="33.75" hidden="false" customHeight="true" outlineLevel="0" collapsed="false">
      <c r="B96" s="28" t="s">
        <v>363</v>
      </c>
      <c r="C96" s="28" t="s">
        <v>38</v>
      </c>
      <c r="D96" s="28" t="s">
        <v>364</v>
      </c>
      <c r="E96" s="28" t="s">
        <v>142</v>
      </c>
      <c r="F96" s="28" t="s">
        <v>138</v>
      </c>
      <c r="G96" s="28" t="s">
        <v>139</v>
      </c>
      <c r="H96" s="28" t="s">
        <v>365</v>
      </c>
      <c r="I96" s="29" t="n">
        <f aca="false">'Finish Allowances'!G28</f>
        <v>700</v>
      </c>
      <c r="J96" s="28" t="s">
        <v>51</v>
      </c>
      <c r="K96" s="28" t="s">
        <v>319</v>
      </c>
      <c r="L96" s="28" t="s">
        <v>143</v>
      </c>
      <c r="M96" s="28" t="s">
        <v>320</v>
      </c>
    </row>
    <row r="97" customFormat="false" ht="33.75" hidden="false" customHeight="true" outlineLevel="0" collapsed="false">
      <c r="B97" s="28" t="s">
        <v>366</v>
      </c>
      <c r="C97" s="28" t="s">
        <v>38</v>
      </c>
      <c r="D97" s="28" t="s">
        <v>317</v>
      </c>
      <c r="E97" s="28" t="s">
        <v>148</v>
      </c>
      <c r="F97" s="28" t="s">
        <v>21</v>
      </c>
      <c r="G97" s="28" t="s">
        <v>118</v>
      </c>
      <c r="H97" s="28" t="s">
        <v>367</v>
      </c>
      <c r="I97" s="29" t="n">
        <f aca="false">'Finish Allowances'!G29</f>
        <v>82</v>
      </c>
      <c r="J97" s="28" t="s">
        <v>51</v>
      </c>
      <c r="K97" s="28" t="s">
        <v>319</v>
      </c>
      <c r="L97" s="28" t="s">
        <v>128</v>
      </c>
      <c r="M97" s="28" t="s">
        <v>320</v>
      </c>
    </row>
    <row r="98" customFormat="false" ht="33.75" hidden="false" customHeight="true" outlineLevel="0" collapsed="false">
      <c r="B98" s="20" t="s">
        <v>368</v>
      </c>
      <c r="C98" s="20" t="s">
        <v>38</v>
      </c>
      <c r="D98" s="20" t="s">
        <v>369</v>
      </c>
      <c r="E98" s="20" t="s">
        <v>370</v>
      </c>
      <c r="F98" s="20" t="s">
        <v>138</v>
      </c>
      <c r="G98" s="20" t="s">
        <v>371</v>
      </c>
      <c r="H98" s="20" t="s">
        <v>372</v>
      </c>
      <c r="I98" s="21" t="n">
        <f aca="false">'Finish Allowances'!G28</f>
        <v>700</v>
      </c>
      <c r="J98" s="20" t="s">
        <v>51</v>
      </c>
      <c r="K98" s="20" t="s">
        <v>373</v>
      </c>
      <c r="L98" s="20" t="s">
        <v>374</v>
      </c>
      <c r="M98" s="20" t="s">
        <v>375</v>
      </c>
    </row>
    <row r="99" customFormat="false" ht="33.75" hidden="false" customHeight="true" outlineLevel="0" collapsed="false">
      <c r="B99" s="22" t="s">
        <v>376</v>
      </c>
      <c r="C99" s="22" t="s">
        <v>38</v>
      </c>
      <c r="D99" s="22" t="s">
        <v>377</v>
      </c>
      <c r="E99" s="22" t="s">
        <v>378</v>
      </c>
      <c r="F99" s="22" t="s">
        <v>138</v>
      </c>
      <c r="G99" s="22" t="s">
        <v>379</v>
      </c>
      <c r="H99" s="22" t="s">
        <v>380</v>
      </c>
      <c r="I99" s="23" t="n">
        <f aca="false">'Finish Allowances'!G28*5.5/12/27</f>
        <v>11.8827160493827</v>
      </c>
      <c r="J99" s="22" t="s">
        <v>381</v>
      </c>
      <c r="K99" s="22" t="s">
        <v>382</v>
      </c>
      <c r="L99" s="22" t="s">
        <v>383</v>
      </c>
      <c r="M99" s="22" t="s">
        <v>384</v>
      </c>
    </row>
    <row r="100" customFormat="false" ht="33.75" hidden="false" customHeight="true" outlineLevel="0" collapsed="false">
      <c r="B100" s="20" t="s">
        <v>385</v>
      </c>
      <c r="C100" s="20" t="s">
        <v>198</v>
      </c>
      <c r="D100" s="20" t="s">
        <v>386</v>
      </c>
      <c r="E100" s="20" t="s">
        <v>387</v>
      </c>
      <c r="F100" s="20" t="s">
        <v>138</v>
      </c>
      <c r="G100" s="20" t="s">
        <v>388</v>
      </c>
      <c r="H100" s="20" t="s">
        <v>389</v>
      </c>
      <c r="I100" s="21" t="n">
        <v>1</v>
      </c>
      <c r="J100" s="20" t="s">
        <v>390</v>
      </c>
      <c r="K100" s="20" t="s">
        <v>391</v>
      </c>
      <c r="L100" s="20" t="s">
        <v>392</v>
      </c>
      <c r="M100" s="20" t="s">
        <v>393</v>
      </c>
    </row>
    <row r="101" customFormat="false" ht="33.75" hidden="false" customHeight="true" outlineLevel="0" collapsed="false">
      <c r="B101" s="22" t="s">
        <v>394</v>
      </c>
      <c r="C101" s="22" t="s">
        <v>198</v>
      </c>
      <c r="D101" s="22" t="s">
        <v>386</v>
      </c>
      <c r="E101" s="22" t="s">
        <v>387</v>
      </c>
      <c r="F101" s="22" t="s">
        <v>138</v>
      </c>
      <c r="G101" s="22" t="s">
        <v>395</v>
      </c>
      <c r="H101" s="22" t="s">
        <v>396</v>
      </c>
      <c r="I101" s="23" t="n">
        <v>4</v>
      </c>
      <c r="J101" s="22" t="s">
        <v>397</v>
      </c>
      <c r="K101" s="22" t="s">
        <v>398</v>
      </c>
      <c r="L101" s="22" t="s">
        <v>399</v>
      </c>
      <c r="M101" s="22" t="s">
        <v>400</v>
      </c>
    </row>
    <row r="102" customFormat="false" ht="33.75" hidden="false" customHeight="true" outlineLevel="0" collapsed="false">
      <c r="B102" s="20" t="s">
        <v>401</v>
      </c>
      <c r="C102" s="20" t="s">
        <v>198</v>
      </c>
      <c r="D102" s="20" t="s">
        <v>386</v>
      </c>
      <c r="E102" s="20" t="s">
        <v>402</v>
      </c>
      <c r="F102" s="20" t="s">
        <v>138</v>
      </c>
      <c r="G102" s="20" t="s">
        <v>403</v>
      </c>
      <c r="H102" s="20" t="s">
        <v>404</v>
      </c>
      <c r="I102" s="21" t="n">
        <v>1000</v>
      </c>
      <c r="J102" s="20" t="s">
        <v>51</v>
      </c>
      <c r="K102" s="20" t="s">
        <v>405</v>
      </c>
      <c r="L102" s="20" t="s">
        <v>406</v>
      </c>
      <c r="M102" s="20" t="s">
        <v>407</v>
      </c>
    </row>
    <row r="103" customFormat="false" ht="33.75" hidden="false" customHeight="true" outlineLevel="0" collapsed="false">
      <c r="B103" s="22" t="s">
        <v>408</v>
      </c>
      <c r="C103" s="22" t="s">
        <v>198</v>
      </c>
      <c r="D103" s="22" t="s">
        <v>386</v>
      </c>
      <c r="E103" s="22" t="s">
        <v>387</v>
      </c>
      <c r="F103" s="22" t="s">
        <v>138</v>
      </c>
      <c r="G103" s="22" t="s">
        <v>409</v>
      </c>
      <c r="H103" s="22" t="s">
        <v>410</v>
      </c>
      <c r="I103" s="23" t="n">
        <v>4</v>
      </c>
      <c r="J103" s="22" t="s">
        <v>397</v>
      </c>
      <c r="K103" s="22" t="s">
        <v>398</v>
      </c>
      <c r="L103" s="22" t="s">
        <v>411</v>
      </c>
      <c r="M103" s="22" t="s">
        <v>412</v>
      </c>
    </row>
    <row r="104" customFormat="false" ht="33.75" hidden="false" customHeight="true" outlineLevel="0" collapsed="false">
      <c r="B104" s="20" t="s">
        <v>413</v>
      </c>
      <c r="C104" s="20" t="s">
        <v>198</v>
      </c>
      <c r="D104" s="20" t="s">
        <v>386</v>
      </c>
      <c r="E104" s="20" t="s">
        <v>387</v>
      </c>
      <c r="F104" s="20" t="s">
        <v>138</v>
      </c>
      <c r="G104" s="20" t="s">
        <v>409</v>
      </c>
      <c r="H104" s="20" t="s">
        <v>414</v>
      </c>
      <c r="I104" s="21" t="n">
        <v>1</v>
      </c>
      <c r="J104" s="20" t="s">
        <v>390</v>
      </c>
      <c r="K104" s="20" t="s">
        <v>391</v>
      </c>
      <c r="L104" s="20" t="s">
        <v>415</v>
      </c>
      <c r="M104" s="20" t="s">
        <v>416</v>
      </c>
    </row>
    <row r="105" customFormat="false" ht="33.75" hidden="false" customHeight="true" outlineLevel="0" collapsed="false">
      <c r="B105" s="22" t="s">
        <v>417</v>
      </c>
      <c r="C105" s="22" t="s">
        <v>198</v>
      </c>
      <c r="D105" s="22" t="s">
        <v>386</v>
      </c>
      <c r="E105" s="22" t="s">
        <v>387</v>
      </c>
      <c r="F105" s="22" t="s">
        <v>138</v>
      </c>
      <c r="G105" s="22" t="s">
        <v>418</v>
      </c>
      <c r="H105" s="22" t="s">
        <v>419</v>
      </c>
      <c r="I105" s="23" t="n">
        <v>1</v>
      </c>
      <c r="J105" s="22" t="s">
        <v>390</v>
      </c>
      <c r="K105" s="22" t="s">
        <v>391</v>
      </c>
      <c r="L105" s="22" t="s">
        <v>420</v>
      </c>
      <c r="M105" s="22" t="s">
        <v>421</v>
      </c>
    </row>
    <row r="106" customFormat="false" ht="33.75" hidden="false" customHeight="true" outlineLevel="0" collapsed="false">
      <c r="B106" s="20" t="s">
        <v>422</v>
      </c>
      <c r="C106" s="20" t="s">
        <v>198</v>
      </c>
      <c r="D106" s="20" t="s">
        <v>423</v>
      </c>
      <c r="E106" s="20" t="s">
        <v>424</v>
      </c>
      <c r="F106" s="20" t="s">
        <v>138</v>
      </c>
      <c r="G106" s="20" t="s">
        <v>425</v>
      </c>
      <c r="H106" s="20" t="s">
        <v>426</v>
      </c>
      <c r="I106" s="21" t="n">
        <v>1</v>
      </c>
      <c r="J106" s="20" t="s">
        <v>390</v>
      </c>
      <c r="K106" s="20" t="s">
        <v>391</v>
      </c>
      <c r="L106" s="20" t="s">
        <v>427</v>
      </c>
      <c r="M106" s="20" t="s">
        <v>428</v>
      </c>
    </row>
    <row r="107" customFormat="false" ht="33.75" hidden="false" customHeight="true" outlineLevel="0" collapsed="false">
      <c r="B107" s="22" t="s">
        <v>429</v>
      </c>
      <c r="C107" s="22" t="s">
        <v>198</v>
      </c>
      <c r="D107" s="22" t="s">
        <v>377</v>
      </c>
      <c r="E107" s="22" t="s">
        <v>430</v>
      </c>
      <c r="F107" s="22" t="s">
        <v>138</v>
      </c>
      <c r="G107" s="22" t="s">
        <v>431</v>
      </c>
      <c r="H107" s="22" t="s">
        <v>432</v>
      </c>
      <c r="I107" s="23" t="n">
        <v>1</v>
      </c>
      <c r="J107" s="22" t="s">
        <v>390</v>
      </c>
      <c r="K107" s="22" t="s">
        <v>391</v>
      </c>
      <c r="L107" s="22" t="s">
        <v>433</v>
      </c>
      <c r="M107" s="22" t="s">
        <v>434</v>
      </c>
    </row>
    <row r="108" customFormat="false" ht="33.75" hidden="false" customHeight="true" outlineLevel="0" collapsed="false">
      <c r="B108" s="20" t="s">
        <v>435</v>
      </c>
      <c r="C108" s="20" t="s">
        <v>198</v>
      </c>
      <c r="D108" s="20" t="s">
        <v>369</v>
      </c>
      <c r="E108" s="20" t="s">
        <v>436</v>
      </c>
      <c r="F108" s="20" t="s">
        <v>138</v>
      </c>
      <c r="G108" s="20" t="s">
        <v>437</v>
      </c>
      <c r="H108" s="20" t="s">
        <v>438</v>
      </c>
      <c r="I108" s="21" t="n">
        <v>1</v>
      </c>
      <c r="J108" s="20" t="s">
        <v>390</v>
      </c>
      <c r="K108" s="20" t="s">
        <v>391</v>
      </c>
      <c r="L108" s="20" t="s">
        <v>439</v>
      </c>
      <c r="M108" s="20" t="s">
        <v>440</v>
      </c>
    </row>
    <row r="109" customFormat="false" ht="33.75" hidden="false" customHeight="true" outlineLevel="0" collapsed="false">
      <c r="B109" s="22" t="s">
        <v>441</v>
      </c>
      <c r="C109" s="22" t="s">
        <v>198</v>
      </c>
      <c r="D109" s="22" t="s">
        <v>442</v>
      </c>
      <c r="E109" s="22" t="s">
        <v>443</v>
      </c>
      <c r="F109" s="22" t="s">
        <v>138</v>
      </c>
      <c r="G109" s="22" t="s">
        <v>444</v>
      </c>
      <c r="H109" s="22" t="s">
        <v>445</v>
      </c>
      <c r="I109" s="23" t="n">
        <v>1</v>
      </c>
      <c r="J109" s="22" t="s">
        <v>390</v>
      </c>
      <c r="K109" s="22" t="s">
        <v>391</v>
      </c>
      <c r="L109" s="22" t="s">
        <v>446</v>
      </c>
      <c r="M109" s="22" t="s">
        <v>447</v>
      </c>
    </row>
    <row r="110" customFormat="false" ht="33.75" hidden="false" customHeight="true" outlineLevel="0" collapsed="false">
      <c r="B110" s="20" t="s">
        <v>448</v>
      </c>
      <c r="C110" s="20" t="s">
        <v>198</v>
      </c>
      <c r="D110" s="20" t="s">
        <v>317</v>
      </c>
      <c r="E110" s="20" t="s">
        <v>449</v>
      </c>
      <c r="F110" s="20" t="s">
        <v>138</v>
      </c>
      <c r="G110" s="20" t="s">
        <v>450</v>
      </c>
      <c r="H110" s="20" t="s">
        <v>451</v>
      </c>
      <c r="I110" s="21" t="n">
        <v>1</v>
      </c>
      <c r="J110" s="20" t="s">
        <v>390</v>
      </c>
      <c r="K110" s="20" t="s">
        <v>391</v>
      </c>
      <c r="L110" s="20" t="s">
        <v>452</v>
      </c>
      <c r="M110" s="20" t="s">
        <v>453</v>
      </c>
    </row>
    <row r="111" customFormat="false" ht="33.75" hidden="false" customHeight="true" outlineLevel="0" collapsed="false">
      <c r="B111" s="22" t="s">
        <v>454</v>
      </c>
      <c r="C111" s="22" t="s">
        <v>198</v>
      </c>
      <c r="D111" s="22" t="s">
        <v>317</v>
      </c>
      <c r="E111" s="22" t="s">
        <v>449</v>
      </c>
      <c r="F111" s="22" t="s">
        <v>138</v>
      </c>
      <c r="G111" s="22" t="s">
        <v>455</v>
      </c>
      <c r="H111" s="22" t="s">
        <v>456</v>
      </c>
      <c r="I111" s="23" t="n">
        <v>1</v>
      </c>
      <c r="J111" s="22" t="s">
        <v>390</v>
      </c>
      <c r="K111" s="22" t="s">
        <v>391</v>
      </c>
      <c r="L111" s="22" t="s">
        <v>457</v>
      </c>
      <c r="M111" s="22" t="s">
        <v>458</v>
      </c>
    </row>
    <row r="112" customFormat="false" ht="33.75" hidden="false" customHeight="true" outlineLevel="0" collapsed="false">
      <c r="B112" s="20" t="s">
        <v>459</v>
      </c>
      <c r="C112" s="20" t="s">
        <v>198</v>
      </c>
      <c r="D112" s="20" t="s">
        <v>317</v>
      </c>
      <c r="E112" s="20" t="s">
        <v>460</v>
      </c>
      <c r="F112" s="20" t="s">
        <v>138</v>
      </c>
      <c r="G112" s="20" t="s">
        <v>461</v>
      </c>
      <c r="H112" s="20" t="s">
        <v>462</v>
      </c>
      <c r="I112" s="21" t="n">
        <v>1</v>
      </c>
      <c r="J112" s="20" t="s">
        <v>390</v>
      </c>
      <c r="K112" s="20" t="s">
        <v>391</v>
      </c>
      <c r="L112" s="20" t="s">
        <v>463</v>
      </c>
      <c r="M112" s="20" t="s">
        <v>464</v>
      </c>
    </row>
    <row r="113" customFormat="false" ht="33.75" hidden="false" customHeight="true" outlineLevel="0" collapsed="false">
      <c r="B113" s="22" t="s">
        <v>465</v>
      </c>
      <c r="C113" s="22" t="s">
        <v>198</v>
      </c>
      <c r="D113" s="22" t="s">
        <v>317</v>
      </c>
      <c r="E113" s="22" t="s">
        <v>466</v>
      </c>
      <c r="F113" s="22" t="s">
        <v>138</v>
      </c>
      <c r="G113" s="22" t="s">
        <v>467</v>
      </c>
      <c r="H113" s="22" t="s">
        <v>468</v>
      </c>
      <c r="I113" s="23" t="n">
        <v>1</v>
      </c>
      <c r="J113" s="22" t="s">
        <v>390</v>
      </c>
      <c r="K113" s="22" t="s">
        <v>469</v>
      </c>
      <c r="L113" s="22" t="s">
        <v>470</v>
      </c>
      <c r="M113" s="22" t="s">
        <v>471</v>
      </c>
    </row>
    <row r="114" customFormat="false" ht="33.75" hidden="false" customHeight="true" outlineLevel="0" collapsed="false">
      <c r="B114" s="20" t="s">
        <v>472</v>
      </c>
      <c r="C114" s="20" t="s">
        <v>198</v>
      </c>
      <c r="D114" s="20" t="s">
        <v>317</v>
      </c>
      <c r="E114" s="20" t="s">
        <v>473</v>
      </c>
      <c r="F114" s="20" t="s">
        <v>138</v>
      </c>
      <c r="G114" s="20" t="s">
        <v>455</v>
      </c>
      <c r="H114" s="20" t="s">
        <v>474</v>
      </c>
      <c r="I114" s="21" t="n">
        <v>1</v>
      </c>
      <c r="J114" s="20" t="s">
        <v>390</v>
      </c>
      <c r="K114" s="20" t="s">
        <v>391</v>
      </c>
      <c r="L114" s="20" t="s">
        <v>475</v>
      </c>
      <c r="M114" s="20" t="s">
        <v>476</v>
      </c>
    </row>
    <row r="115" customFormat="false" ht="33.75" hidden="false" customHeight="true" outlineLevel="0" collapsed="false">
      <c r="B115" s="26" t="s">
        <v>477</v>
      </c>
      <c r="C115" s="26" t="s">
        <v>198</v>
      </c>
      <c r="D115" s="26" t="s">
        <v>199</v>
      </c>
      <c r="E115" s="26" t="s">
        <v>478</v>
      </c>
      <c r="F115" s="26" t="s">
        <v>138</v>
      </c>
      <c r="G115" s="26" t="s">
        <v>479</v>
      </c>
      <c r="H115" s="26" t="s">
        <v>480</v>
      </c>
      <c r="I115" s="27" t="n">
        <v>12</v>
      </c>
      <c r="J115" s="26" t="s">
        <v>481</v>
      </c>
      <c r="K115" s="26" t="s">
        <v>204</v>
      </c>
      <c r="L115" s="26" t="s">
        <v>482</v>
      </c>
      <c r="M115" s="26" t="s">
        <v>483</v>
      </c>
    </row>
    <row r="116" customFormat="false" ht="33.75" hidden="false" customHeight="true" outlineLevel="0" collapsed="false">
      <c r="B116" s="20" t="s">
        <v>484</v>
      </c>
      <c r="C116" s="20" t="s">
        <v>198</v>
      </c>
      <c r="D116" s="20" t="s">
        <v>199</v>
      </c>
      <c r="E116" s="20" t="s">
        <v>485</v>
      </c>
      <c r="F116" s="20" t="s">
        <v>138</v>
      </c>
      <c r="G116" s="20" t="s">
        <v>486</v>
      </c>
      <c r="H116" s="20" t="s">
        <v>487</v>
      </c>
      <c r="I116" s="21" t="n">
        <v>20</v>
      </c>
      <c r="J116" s="20" t="s">
        <v>218</v>
      </c>
      <c r="K116" s="20" t="s">
        <v>219</v>
      </c>
      <c r="L116" s="20" t="s">
        <v>488</v>
      </c>
      <c r="M116" s="20" t="s">
        <v>489</v>
      </c>
    </row>
    <row r="117" customFormat="false" ht="33.75" hidden="false" customHeight="true" outlineLevel="0" collapsed="false">
      <c r="B117" s="22" t="s">
        <v>490</v>
      </c>
      <c r="C117" s="22" t="s">
        <v>198</v>
      </c>
      <c r="D117" s="22" t="s">
        <v>199</v>
      </c>
      <c r="E117" s="22" t="s">
        <v>491</v>
      </c>
      <c r="F117" s="22" t="s">
        <v>138</v>
      </c>
      <c r="G117" s="22" t="s">
        <v>492</v>
      </c>
      <c r="H117" s="22" t="s">
        <v>493</v>
      </c>
      <c r="I117" s="23" t="n">
        <v>1</v>
      </c>
      <c r="J117" s="22" t="s">
        <v>390</v>
      </c>
      <c r="K117" s="22" t="s">
        <v>469</v>
      </c>
      <c r="L117" s="22" t="s">
        <v>494</v>
      </c>
      <c r="M117" s="22" t="s">
        <v>495</v>
      </c>
    </row>
    <row r="118" customFormat="false" ht="33.75" hidden="false" customHeight="true" outlineLevel="0" collapsed="false">
      <c r="B118" s="20" t="s">
        <v>496</v>
      </c>
      <c r="C118" s="20" t="s">
        <v>198</v>
      </c>
      <c r="D118" s="20" t="s">
        <v>199</v>
      </c>
      <c r="E118" s="20" t="s">
        <v>491</v>
      </c>
      <c r="F118" s="20" t="s">
        <v>138</v>
      </c>
      <c r="G118" s="20" t="s">
        <v>497</v>
      </c>
      <c r="H118" s="20" t="s">
        <v>498</v>
      </c>
      <c r="I118" s="21" t="n">
        <v>1</v>
      </c>
      <c r="J118" s="20" t="s">
        <v>390</v>
      </c>
      <c r="K118" s="20" t="s">
        <v>391</v>
      </c>
      <c r="L118" s="20" t="s">
        <v>499</v>
      </c>
      <c r="M118" s="20" t="s">
        <v>500</v>
      </c>
    </row>
    <row r="119" customFormat="false" ht="33.75" hidden="false" customHeight="true" outlineLevel="0" collapsed="false">
      <c r="B119" s="22" t="s">
        <v>501</v>
      </c>
      <c r="C119" s="22" t="s">
        <v>198</v>
      </c>
      <c r="D119" s="22" t="s">
        <v>502</v>
      </c>
      <c r="E119" s="22" t="s">
        <v>503</v>
      </c>
      <c r="F119" s="22" t="s">
        <v>138</v>
      </c>
      <c r="G119" s="22" t="s">
        <v>504</v>
      </c>
      <c r="H119" s="22" t="s">
        <v>505</v>
      </c>
      <c r="I119" s="23" t="n">
        <v>1</v>
      </c>
      <c r="J119" s="22" t="s">
        <v>390</v>
      </c>
      <c r="K119" s="22" t="s">
        <v>391</v>
      </c>
      <c r="L119" s="22" t="s">
        <v>506</v>
      </c>
      <c r="M119" s="22" t="s">
        <v>507</v>
      </c>
    </row>
    <row r="120" customFormat="false" ht="33.75" hidden="false" customHeight="true" outlineLevel="0" collapsed="false">
      <c r="B120" s="20" t="s">
        <v>508</v>
      </c>
      <c r="C120" s="20" t="s">
        <v>509</v>
      </c>
      <c r="D120" s="20" t="s">
        <v>510</v>
      </c>
      <c r="E120" s="20" t="s">
        <v>511</v>
      </c>
      <c r="F120" s="20" t="s">
        <v>512</v>
      </c>
      <c r="G120" s="20" t="s">
        <v>513</v>
      </c>
      <c r="H120" s="20" t="s">
        <v>514</v>
      </c>
      <c r="I120" s="21" t="n">
        <v>2</v>
      </c>
      <c r="J120" s="20" t="s">
        <v>515</v>
      </c>
      <c r="K120" s="20" t="s">
        <v>405</v>
      </c>
      <c r="L120" s="20" t="s">
        <v>516</v>
      </c>
      <c r="M120" s="20" t="s">
        <v>517</v>
      </c>
    </row>
    <row r="121" customFormat="false" ht="33.75" hidden="false" customHeight="true" outlineLevel="0" collapsed="false">
      <c r="B121" s="22" t="s">
        <v>518</v>
      </c>
      <c r="C121" s="22" t="s">
        <v>509</v>
      </c>
      <c r="D121" s="22" t="s">
        <v>510</v>
      </c>
      <c r="E121" s="22" t="s">
        <v>511</v>
      </c>
      <c r="F121" s="22" t="s">
        <v>519</v>
      </c>
      <c r="G121" s="22" t="s">
        <v>520</v>
      </c>
      <c r="H121" s="22" t="s">
        <v>521</v>
      </c>
      <c r="I121" s="23" t="n">
        <v>3</v>
      </c>
      <c r="J121" s="22" t="s">
        <v>515</v>
      </c>
      <c r="K121" s="22" t="s">
        <v>405</v>
      </c>
      <c r="L121" s="22" t="s">
        <v>516</v>
      </c>
      <c r="M121" s="22" t="s">
        <v>522</v>
      </c>
    </row>
    <row r="122" customFormat="false" ht="33.75" hidden="false" customHeight="true" outlineLevel="0" collapsed="false">
      <c r="B122" s="20" t="s">
        <v>523</v>
      </c>
      <c r="C122" s="20" t="s">
        <v>509</v>
      </c>
      <c r="D122" s="20" t="s">
        <v>510</v>
      </c>
      <c r="E122" s="20" t="s">
        <v>511</v>
      </c>
      <c r="F122" s="20" t="s">
        <v>138</v>
      </c>
      <c r="G122" s="20" t="s">
        <v>524</v>
      </c>
      <c r="H122" s="20" t="s">
        <v>525</v>
      </c>
      <c r="I122" s="21" t="n">
        <v>1</v>
      </c>
      <c r="J122" s="20" t="s">
        <v>390</v>
      </c>
      <c r="K122" s="20" t="s">
        <v>391</v>
      </c>
      <c r="L122" s="20" t="s">
        <v>516</v>
      </c>
      <c r="M122" s="20" t="s">
        <v>526</v>
      </c>
    </row>
    <row r="123" customFormat="false" ht="33.75" hidden="false" customHeight="true" outlineLevel="0" collapsed="false">
      <c r="B123" s="22" t="s">
        <v>527</v>
      </c>
      <c r="C123" s="22" t="s">
        <v>509</v>
      </c>
      <c r="D123" s="22" t="s">
        <v>510</v>
      </c>
      <c r="E123" s="22" t="s">
        <v>511</v>
      </c>
      <c r="F123" s="22" t="s">
        <v>138</v>
      </c>
      <c r="G123" s="22" t="s">
        <v>528</v>
      </c>
      <c r="H123" s="22" t="s">
        <v>529</v>
      </c>
      <c r="I123" s="23" t="n">
        <v>4</v>
      </c>
      <c r="J123" s="22" t="s">
        <v>397</v>
      </c>
      <c r="K123" s="22" t="s">
        <v>398</v>
      </c>
      <c r="L123" s="22" t="s">
        <v>411</v>
      </c>
      <c r="M123" s="22" t="s">
        <v>530</v>
      </c>
    </row>
    <row r="124" customFormat="false" ht="33.75" hidden="false" customHeight="true" outlineLevel="0" collapsed="false">
      <c r="B124" s="30" t="s">
        <v>531</v>
      </c>
      <c r="C124" s="30" t="s">
        <v>532</v>
      </c>
      <c r="D124" s="30" t="s">
        <v>199</v>
      </c>
      <c r="E124" s="30" t="s">
        <v>533</v>
      </c>
      <c r="F124" s="30" t="s">
        <v>18</v>
      </c>
      <c r="G124" s="30" t="s">
        <v>534</v>
      </c>
      <c r="H124" s="30" t="s">
        <v>535</v>
      </c>
      <c r="I124" s="31" t="n">
        <v>2</v>
      </c>
      <c r="J124" s="30" t="s">
        <v>218</v>
      </c>
      <c r="K124" s="30" t="s">
        <v>536</v>
      </c>
      <c r="L124" s="30" t="s">
        <v>537</v>
      </c>
      <c r="M124" s="30" t="s">
        <v>538</v>
      </c>
    </row>
    <row r="125" customFormat="false" ht="33.75" hidden="false" customHeight="true" outlineLevel="0" collapsed="false">
      <c r="B125" s="30" t="s">
        <v>539</v>
      </c>
      <c r="C125" s="30" t="s">
        <v>540</v>
      </c>
      <c r="D125" s="30" t="s">
        <v>541</v>
      </c>
      <c r="E125" s="30" t="s">
        <v>533</v>
      </c>
      <c r="F125" s="30" t="s">
        <v>18</v>
      </c>
      <c r="G125" s="30" t="s">
        <v>542</v>
      </c>
      <c r="H125" s="30" t="s">
        <v>543</v>
      </c>
      <c r="I125" s="31" t="n">
        <v>1</v>
      </c>
      <c r="J125" s="30" t="s">
        <v>218</v>
      </c>
      <c r="K125" s="30" t="s">
        <v>536</v>
      </c>
      <c r="L125" s="30" t="s">
        <v>537</v>
      </c>
      <c r="M125" s="30" t="s">
        <v>544</v>
      </c>
    </row>
    <row r="126" customFormat="false" ht="33.75" hidden="false" customHeight="true" outlineLevel="0" collapsed="false">
      <c r="B126" s="30" t="s">
        <v>545</v>
      </c>
      <c r="C126" s="30" t="s">
        <v>532</v>
      </c>
      <c r="D126" s="30" t="s">
        <v>199</v>
      </c>
      <c r="E126" s="30" t="s">
        <v>533</v>
      </c>
      <c r="F126" s="30" t="s">
        <v>19</v>
      </c>
      <c r="G126" s="30" t="s">
        <v>534</v>
      </c>
      <c r="H126" s="30" t="s">
        <v>535</v>
      </c>
      <c r="I126" s="31" t="n">
        <v>2</v>
      </c>
      <c r="J126" s="30" t="s">
        <v>218</v>
      </c>
      <c r="K126" s="30" t="s">
        <v>536</v>
      </c>
      <c r="L126" s="30" t="s">
        <v>537</v>
      </c>
      <c r="M126" s="30" t="s">
        <v>538</v>
      </c>
    </row>
    <row r="127" customFormat="false" ht="33.75" hidden="false" customHeight="true" outlineLevel="0" collapsed="false">
      <c r="B127" s="30" t="s">
        <v>546</v>
      </c>
      <c r="C127" s="30" t="s">
        <v>540</v>
      </c>
      <c r="D127" s="30" t="s">
        <v>541</v>
      </c>
      <c r="E127" s="30" t="s">
        <v>533</v>
      </c>
      <c r="F127" s="30" t="s">
        <v>19</v>
      </c>
      <c r="G127" s="30" t="s">
        <v>542</v>
      </c>
      <c r="H127" s="30" t="s">
        <v>543</v>
      </c>
      <c r="I127" s="31" t="n">
        <v>1</v>
      </c>
      <c r="J127" s="30" t="s">
        <v>218</v>
      </c>
      <c r="K127" s="30" t="s">
        <v>536</v>
      </c>
      <c r="L127" s="30" t="s">
        <v>537</v>
      </c>
      <c r="M127" s="30" t="s">
        <v>544</v>
      </c>
    </row>
    <row r="128" customFormat="false" ht="33.75" hidden="false" customHeight="true" outlineLevel="0" collapsed="false">
      <c r="B128" s="30" t="s">
        <v>547</v>
      </c>
      <c r="C128" s="30" t="s">
        <v>532</v>
      </c>
      <c r="D128" s="30" t="s">
        <v>199</v>
      </c>
      <c r="E128" s="30" t="s">
        <v>533</v>
      </c>
      <c r="F128" s="30" t="s">
        <v>20</v>
      </c>
      <c r="G128" s="30" t="s">
        <v>534</v>
      </c>
      <c r="H128" s="30" t="s">
        <v>535</v>
      </c>
      <c r="I128" s="31" t="n">
        <v>2</v>
      </c>
      <c r="J128" s="30" t="s">
        <v>218</v>
      </c>
      <c r="K128" s="30" t="s">
        <v>536</v>
      </c>
      <c r="L128" s="30" t="s">
        <v>537</v>
      </c>
      <c r="M128" s="30" t="s">
        <v>538</v>
      </c>
    </row>
    <row r="129" customFormat="false" ht="33.75" hidden="false" customHeight="true" outlineLevel="0" collapsed="false">
      <c r="B129" s="30" t="s">
        <v>548</v>
      </c>
      <c r="C129" s="30" t="s">
        <v>540</v>
      </c>
      <c r="D129" s="30" t="s">
        <v>541</v>
      </c>
      <c r="E129" s="30" t="s">
        <v>533</v>
      </c>
      <c r="F129" s="30" t="s">
        <v>20</v>
      </c>
      <c r="G129" s="30" t="s">
        <v>542</v>
      </c>
      <c r="H129" s="30" t="s">
        <v>543</v>
      </c>
      <c r="I129" s="31" t="n">
        <v>1</v>
      </c>
      <c r="J129" s="30" t="s">
        <v>218</v>
      </c>
      <c r="K129" s="30" t="s">
        <v>536</v>
      </c>
      <c r="L129" s="30" t="s">
        <v>537</v>
      </c>
      <c r="M129" s="30" t="s">
        <v>544</v>
      </c>
    </row>
    <row r="130" customFormat="false" ht="33.75" hidden="false" customHeight="true" outlineLevel="0" collapsed="false">
      <c r="B130" s="30" t="s">
        <v>549</v>
      </c>
      <c r="C130" s="30" t="s">
        <v>532</v>
      </c>
      <c r="D130" s="30" t="s">
        <v>199</v>
      </c>
      <c r="E130" s="30" t="s">
        <v>533</v>
      </c>
      <c r="F130" s="30" t="s">
        <v>21</v>
      </c>
      <c r="G130" s="30" t="s">
        <v>534</v>
      </c>
      <c r="H130" s="30" t="s">
        <v>535</v>
      </c>
      <c r="I130" s="31" t="n">
        <v>2</v>
      </c>
      <c r="J130" s="30" t="s">
        <v>218</v>
      </c>
      <c r="K130" s="30" t="s">
        <v>536</v>
      </c>
      <c r="L130" s="30" t="s">
        <v>537</v>
      </c>
      <c r="M130" s="30" t="s">
        <v>538</v>
      </c>
    </row>
    <row r="131" customFormat="false" ht="33.75" hidden="false" customHeight="true" outlineLevel="0" collapsed="false">
      <c r="B131" s="30" t="s">
        <v>550</v>
      </c>
      <c r="C131" s="30" t="s">
        <v>540</v>
      </c>
      <c r="D131" s="30" t="s">
        <v>541</v>
      </c>
      <c r="E131" s="30" t="s">
        <v>533</v>
      </c>
      <c r="F131" s="30" t="s">
        <v>21</v>
      </c>
      <c r="G131" s="30" t="s">
        <v>542</v>
      </c>
      <c r="H131" s="30" t="s">
        <v>543</v>
      </c>
      <c r="I131" s="31" t="n">
        <v>1</v>
      </c>
      <c r="J131" s="30" t="s">
        <v>218</v>
      </c>
      <c r="K131" s="30" t="s">
        <v>536</v>
      </c>
      <c r="L131" s="30" t="s">
        <v>537</v>
      </c>
      <c r="M131" s="30" t="s">
        <v>544</v>
      </c>
    </row>
  </sheetData>
  <mergeCells count="2">
    <mergeCell ref="B2:M2"/>
    <mergeCell ref="B3:M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101 Meydenbauer · Comprehensive Project Takeoff&amp;R&amp;8 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64"/>
    <col collapsed="false" customWidth="true" hidden="false" outlineLevel="0" max="5" min="5" style="0" width="27"/>
    <col collapsed="false" customWidth="true" hidden="false" outlineLevel="0" max="6" min="6" style="0" width="37"/>
    <col collapsed="false" customWidth="true" hidden="false" outlineLevel="0" max="7" min="7" style="0" width="68"/>
  </cols>
  <sheetData>
    <row r="2" customFormat="false" ht="33.75" hidden="false" customHeight="true" outlineLevel="0" collapsed="false">
      <c r="B2" s="17" t="s">
        <v>551</v>
      </c>
      <c r="C2" s="17"/>
      <c r="D2" s="17"/>
      <c r="E2" s="17"/>
      <c r="F2" s="17"/>
      <c r="G2" s="17"/>
    </row>
    <row r="3" customFormat="false" ht="31.5" hidden="false" customHeight="true" outlineLevel="0" collapsed="false">
      <c r="B3" s="18" t="s">
        <v>552</v>
      </c>
      <c r="C3" s="18"/>
      <c r="D3" s="18"/>
      <c r="E3" s="18"/>
      <c r="F3" s="18"/>
      <c r="G3" s="18"/>
    </row>
    <row r="5" customFormat="false" ht="30" hidden="false" customHeight="true" outlineLevel="0" collapsed="false">
      <c r="B5" s="19" t="s">
        <v>192</v>
      </c>
      <c r="C5" s="19" t="s">
        <v>193</v>
      </c>
      <c r="D5" s="19" t="s">
        <v>553</v>
      </c>
      <c r="E5" s="19" t="s">
        <v>554</v>
      </c>
      <c r="F5" s="19" t="s">
        <v>45</v>
      </c>
      <c r="G5" s="19" t="s">
        <v>555</v>
      </c>
    </row>
    <row r="6" customFormat="false" ht="33.75" hidden="false" customHeight="true" outlineLevel="0" collapsed="false">
      <c r="B6" s="20" t="s">
        <v>198</v>
      </c>
      <c r="C6" s="20" t="s">
        <v>199</v>
      </c>
      <c r="D6" s="20" t="s">
        <v>556</v>
      </c>
      <c r="E6" s="20" t="s">
        <v>557</v>
      </c>
      <c r="F6" s="20" t="s">
        <v>558</v>
      </c>
      <c r="G6" s="20" t="s">
        <v>559</v>
      </c>
    </row>
    <row r="7" customFormat="false" ht="33.75" hidden="false" customHeight="true" outlineLevel="0" collapsed="false">
      <c r="B7" s="22" t="s">
        <v>198</v>
      </c>
      <c r="C7" s="22" t="s">
        <v>199</v>
      </c>
      <c r="D7" s="22" t="s">
        <v>560</v>
      </c>
      <c r="E7" s="22" t="s">
        <v>561</v>
      </c>
      <c r="F7" s="22" t="s">
        <v>562</v>
      </c>
      <c r="G7" s="22" t="s">
        <v>563</v>
      </c>
    </row>
    <row r="8" customFormat="false" ht="33.75" hidden="false" customHeight="true" outlineLevel="0" collapsed="false">
      <c r="B8" s="20" t="s">
        <v>198</v>
      </c>
      <c r="C8" s="20" t="s">
        <v>199</v>
      </c>
      <c r="D8" s="20" t="s">
        <v>564</v>
      </c>
      <c r="E8" s="20" t="s">
        <v>565</v>
      </c>
      <c r="F8" s="20" t="s">
        <v>566</v>
      </c>
      <c r="G8" s="20" t="s">
        <v>567</v>
      </c>
    </row>
    <row r="9" customFormat="false" ht="33.75" hidden="false" customHeight="true" outlineLevel="0" collapsed="false">
      <c r="B9" s="22" t="s">
        <v>198</v>
      </c>
      <c r="C9" s="22" t="s">
        <v>568</v>
      </c>
      <c r="D9" s="22" t="s">
        <v>569</v>
      </c>
      <c r="E9" s="22" t="s">
        <v>570</v>
      </c>
      <c r="F9" s="22" t="s">
        <v>571</v>
      </c>
      <c r="G9" s="22" t="s">
        <v>572</v>
      </c>
    </row>
    <row r="10" customFormat="false" ht="33.75" hidden="false" customHeight="true" outlineLevel="0" collapsed="false">
      <c r="B10" s="20" t="s">
        <v>198</v>
      </c>
      <c r="C10" s="20" t="s">
        <v>369</v>
      </c>
      <c r="D10" s="20" t="s">
        <v>573</v>
      </c>
      <c r="E10" s="20" t="s">
        <v>574</v>
      </c>
      <c r="F10" s="20" t="s">
        <v>494</v>
      </c>
      <c r="G10" s="20" t="s">
        <v>575</v>
      </c>
    </row>
    <row r="11" customFormat="false" ht="33.75" hidden="false" customHeight="true" outlineLevel="0" collapsed="false">
      <c r="B11" s="22" t="s">
        <v>198</v>
      </c>
      <c r="C11" s="22" t="s">
        <v>317</v>
      </c>
      <c r="D11" s="22" t="s">
        <v>576</v>
      </c>
      <c r="E11" s="22" t="s">
        <v>577</v>
      </c>
      <c r="F11" s="22" t="s">
        <v>578</v>
      </c>
      <c r="G11" s="22" t="s">
        <v>579</v>
      </c>
    </row>
    <row r="12" customFormat="false" ht="33.75" hidden="false" customHeight="true" outlineLevel="0" collapsed="false">
      <c r="B12" s="20" t="s">
        <v>198</v>
      </c>
      <c r="C12" s="20" t="s">
        <v>317</v>
      </c>
      <c r="D12" s="20" t="s">
        <v>580</v>
      </c>
      <c r="E12" s="20" t="s">
        <v>581</v>
      </c>
      <c r="F12" s="20" t="s">
        <v>582</v>
      </c>
      <c r="G12" s="20" t="s">
        <v>583</v>
      </c>
    </row>
    <row r="13" customFormat="false" ht="33.75" hidden="false" customHeight="true" outlineLevel="0" collapsed="false">
      <c r="B13" s="22" t="s">
        <v>198</v>
      </c>
      <c r="C13" s="22" t="s">
        <v>317</v>
      </c>
      <c r="D13" s="22" t="s">
        <v>584</v>
      </c>
      <c r="E13" s="22" t="s">
        <v>581</v>
      </c>
      <c r="F13" s="22" t="s">
        <v>582</v>
      </c>
      <c r="G13" s="22" t="s">
        <v>585</v>
      </c>
    </row>
    <row r="14" customFormat="false" ht="33.75" hidden="false" customHeight="true" outlineLevel="0" collapsed="false">
      <c r="B14" s="20" t="s">
        <v>198</v>
      </c>
      <c r="C14" s="20" t="s">
        <v>586</v>
      </c>
      <c r="D14" s="20" t="s">
        <v>587</v>
      </c>
      <c r="E14" s="20" t="s">
        <v>588</v>
      </c>
      <c r="F14" s="20" t="s">
        <v>470</v>
      </c>
      <c r="G14" s="20" t="s">
        <v>589</v>
      </c>
    </row>
    <row r="15" customFormat="false" ht="33.75" hidden="false" customHeight="true" outlineLevel="0" collapsed="false">
      <c r="B15" s="22" t="s">
        <v>257</v>
      </c>
      <c r="C15" s="22" t="s">
        <v>199</v>
      </c>
      <c r="D15" s="22" t="s">
        <v>590</v>
      </c>
      <c r="E15" s="22" t="s">
        <v>591</v>
      </c>
      <c r="F15" s="22" t="s">
        <v>592</v>
      </c>
      <c r="G15" s="22" t="s">
        <v>593</v>
      </c>
    </row>
    <row r="16" customFormat="false" ht="33.75" hidden="false" customHeight="true" outlineLevel="0" collapsed="false">
      <c r="B16" s="20" t="s">
        <v>509</v>
      </c>
      <c r="C16" s="20" t="s">
        <v>510</v>
      </c>
      <c r="D16" s="20" t="s">
        <v>594</v>
      </c>
      <c r="E16" s="20" t="s">
        <v>595</v>
      </c>
      <c r="F16" s="20" t="s">
        <v>516</v>
      </c>
      <c r="G16" s="20" t="s">
        <v>596</v>
      </c>
    </row>
    <row r="17" customFormat="false" ht="33.75" hidden="false" customHeight="true" outlineLevel="0" collapsed="false">
      <c r="B17" s="22" t="s">
        <v>387</v>
      </c>
      <c r="C17" s="22" t="s">
        <v>386</v>
      </c>
      <c r="D17" s="22" t="s">
        <v>597</v>
      </c>
      <c r="E17" s="22" t="s">
        <v>390</v>
      </c>
      <c r="F17" s="22" t="s">
        <v>598</v>
      </c>
      <c r="G17" s="22" t="s">
        <v>599</v>
      </c>
    </row>
    <row r="18" customFormat="false" ht="33.75" hidden="false" customHeight="true" outlineLevel="0" collapsed="false">
      <c r="B18" s="20" t="s">
        <v>387</v>
      </c>
      <c r="C18" s="20" t="s">
        <v>386</v>
      </c>
      <c r="D18" s="20" t="s">
        <v>600</v>
      </c>
      <c r="E18" s="20" t="s">
        <v>390</v>
      </c>
      <c r="F18" s="20" t="s">
        <v>601</v>
      </c>
      <c r="G18" s="20" t="s">
        <v>602</v>
      </c>
    </row>
    <row r="19" customFormat="false" ht="33.75" hidden="false" customHeight="true" outlineLevel="0" collapsed="false">
      <c r="B19" s="22" t="s">
        <v>387</v>
      </c>
      <c r="C19" s="22" t="s">
        <v>386</v>
      </c>
      <c r="D19" s="22" t="s">
        <v>603</v>
      </c>
      <c r="E19" s="22" t="s">
        <v>604</v>
      </c>
      <c r="F19" s="22" t="s">
        <v>605</v>
      </c>
      <c r="G19" s="22" t="s">
        <v>606</v>
      </c>
    </row>
    <row r="20" customFormat="false" ht="33.75" hidden="false" customHeight="true" outlineLevel="0" collapsed="false">
      <c r="B20" s="20" t="s">
        <v>532</v>
      </c>
      <c r="C20" s="20" t="s">
        <v>199</v>
      </c>
      <c r="D20" s="20" t="s">
        <v>607</v>
      </c>
      <c r="E20" s="20" t="s">
        <v>608</v>
      </c>
      <c r="F20" s="20" t="s">
        <v>609</v>
      </c>
      <c r="G20" s="20" t="s">
        <v>610</v>
      </c>
    </row>
    <row r="21" customFormat="false" ht="33.75" hidden="false" customHeight="true" outlineLevel="0" collapsed="false">
      <c r="B21" s="22" t="s">
        <v>540</v>
      </c>
      <c r="C21" s="22" t="s">
        <v>541</v>
      </c>
      <c r="D21" s="22" t="s">
        <v>611</v>
      </c>
      <c r="E21" s="22" t="s">
        <v>612</v>
      </c>
      <c r="F21" s="22" t="s">
        <v>609</v>
      </c>
      <c r="G21" s="22" t="s">
        <v>613</v>
      </c>
    </row>
  </sheetData>
  <mergeCells count="2">
    <mergeCell ref="B2:G2"/>
    <mergeCell ref="B3:G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101 Meydenbauer · Comprehensive Project Takeoff&amp;R&amp;8 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3" min="3" style="0" width="125"/>
  </cols>
  <sheetData>
    <row r="2" customFormat="false" ht="33.75" hidden="false" customHeight="true" outlineLevel="0" collapsed="false">
      <c r="B2" s="17" t="s">
        <v>614</v>
      </c>
      <c r="C2" s="17"/>
    </row>
    <row r="3" customFormat="false" ht="31.5" hidden="false" customHeight="true" outlineLevel="0" collapsed="false">
      <c r="B3" s="18" t="s">
        <v>615</v>
      </c>
      <c r="C3" s="18"/>
    </row>
    <row r="5" customFormat="false" ht="30" hidden="false" customHeight="true" outlineLevel="0" collapsed="false">
      <c r="B5" s="19" t="s">
        <v>616</v>
      </c>
      <c r="C5" s="19" t="s">
        <v>617</v>
      </c>
    </row>
    <row r="6" customFormat="false" ht="33.75" hidden="false" customHeight="true" outlineLevel="0" collapsed="false">
      <c r="B6" s="20" t="s">
        <v>618</v>
      </c>
      <c r="C6" s="20" t="s">
        <v>619</v>
      </c>
    </row>
    <row r="7" customFormat="false" ht="33.75" hidden="false" customHeight="true" outlineLevel="0" collapsed="false">
      <c r="B7" s="22" t="s">
        <v>620</v>
      </c>
      <c r="C7" s="22" t="s">
        <v>621</v>
      </c>
    </row>
    <row r="8" customFormat="false" ht="33.75" hidden="false" customHeight="true" outlineLevel="0" collapsed="false">
      <c r="B8" s="20" t="s">
        <v>622</v>
      </c>
      <c r="C8" s="20" t="s">
        <v>623</v>
      </c>
    </row>
    <row r="9" customFormat="false" ht="33.75" hidden="false" customHeight="true" outlineLevel="0" collapsed="false">
      <c r="B9" s="22" t="s">
        <v>624</v>
      </c>
      <c r="C9" s="22" t="s">
        <v>625</v>
      </c>
    </row>
    <row r="10" customFormat="false" ht="33.75" hidden="false" customHeight="true" outlineLevel="0" collapsed="false">
      <c r="B10" s="20" t="s">
        <v>626</v>
      </c>
      <c r="C10" s="20" t="s">
        <v>627</v>
      </c>
    </row>
    <row r="11" customFormat="false" ht="33.75" hidden="false" customHeight="true" outlineLevel="0" collapsed="false">
      <c r="B11" s="22" t="s">
        <v>628</v>
      </c>
      <c r="C11" s="22" t="s">
        <v>629</v>
      </c>
    </row>
    <row r="12" customFormat="false" ht="33.75" hidden="false" customHeight="true" outlineLevel="0" collapsed="false">
      <c r="B12" s="20" t="s">
        <v>630</v>
      </c>
      <c r="C12" s="20" t="s">
        <v>631</v>
      </c>
    </row>
    <row r="13" customFormat="false" ht="33.75" hidden="false" customHeight="true" outlineLevel="0" collapsed="false">
      <c r="B13" s="22" t="s">
        <v>632</v>
      </c>
      <c r="C13" s="22" t="s">
        <v>633</v>
      </c>
    </row>
    <row r="14" customFormat="false" ht="33.75" hidden="false" customHeight="true" outlineLevel="0" collapsed="false">
      <c r="B14" s="20" t="s">
        <v>634</v>
      </c>
      <c r="C14" s="20" t="s">
        <v>635</v>
      </c>
    </row>
    <row r="15" customFormat="false" ht="33.75" hidden="false" customHeight="true" outlineLevel="0" collapsed="false">
      <c r="B15" s="22" t="s">
        <v>636</v>
      </c>
      <c r="C15" s="22" t="s">
        <v>637</v>
      </c>
    </row>
    <row r="16" customFormat="false" ht="33.75" hidden="false" customHeight="true" outlineLevel="0" collapsed="false">
      <c r="B16" s="20" t="s">
        <v>638</v>
      </c>
      <c r="C16" s="20" t="s">
        <v>639</v>
      </c>
    </row>
    <row r="17" customFormat="false" ht="33.75" hidden="false" customHeight="true" outlineLevel="0" collapsed="false">
      <c r="B17" s="22" t="s">
        <v>640</v>
      </c>
      <c r="C17" s="22" t="s">
        <v>641</v>
      </c>
    </row>
    <row r="18" customFormat="false" ht="33.75" hidden="false" customHeight="true" outlineLevel="0" collapsed="false">
      <c r="B18" s="20" t="s">
        <v>642</v>
      </c>
      <c r="C18" s="20" t="s">
        <v>643</v>
      </c>
    </row>
    <row r="19" customFormat="false" ht="33.75" hidden="false" customHeight="true" outlineLevel="0" collapsed="false">
      <c r="B19" s="22" t="s">
        <v>644</v>
      </c>
      <c r="C19" s="22" t="s">
        <v>645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25" right="0.25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25-048 · 101 Meydenbauer · Comprehensive Project Takeoff&amp;R&amp;8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2026-10-25T02:22:47Z</dcterms:created>
  <dc:creator>openpyxl</dc:creator>
  <dc:description/>
  <dc:language>en-US</dc:language>
  <cp:lastModifiedBy/>
  <dcterms:modified xsi:type="dcterms:W3CDTF">2026-10-25T02:22:47Z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