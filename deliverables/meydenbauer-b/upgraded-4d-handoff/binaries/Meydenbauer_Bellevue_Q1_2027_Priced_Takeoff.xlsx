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stimate Summary" sheetId="1" state="visible" r:id="rId2"/>
    <sheet name="Assumptions" sheetId="2" state="visible" r:id="rId3"/>
    <sheet name="Rate Buildups" sheetId="3" state="visible" r:id="rId4"/>
    <sheet name="Priced Takeoff" sheetId="4" state="visible" r:id="rId5"/>
    <sheet name="Pricing Sourc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<sst xmlns="http://schemas.openxmlformats.org/spreadsheetml/2006/main" count="1736" uniqueCount="491">
  <si>
    <t xml:space="preserve">101 Meydenbauer · Q1 2027 Budget Price</t>
  </si>
  <si>
    <t xml:space="preserve">Bellevue, Washington · Non-union / open shop · Project 25-048 · Building B · Units B101–B104</t>
  </si>
  <si>
    <t xml:space="preserve">Base bid estimate</t>
  </si>
  <si>
    <t xml:space="preserve">Direct construction cost</t>
  </si>
  <si>
    <t xml:space="preserve">ROM budget estimate — not a contractor bid. Planning range reflects incomplete field verification and market quotation; it is not a guaranteed accuracy interval.</t>
  </si>
  <si>
    <t xml:space="preserve">Estimating / field contingency</t>
  </si>
  <si>
    <t xml:space="preserve">Subtotal</t>
  </si>
  <si>
    <t xml:space="preserve">General contractor overhead</t>
  </si>
  <si>
    <t xml:space="preserve">Contractor profit</t>
  </si>
  <si>
    <t xml:space="preserve">Q1 2027 pricing: 1.25% escalation from Q4 2026 inputs. Base bid includes all contract allowances and provisional field-verification scopes listed in the Priced Takeoff. Alternates are excluded.</t>
  </si>
  <si>
    <t xml:space="preserve">Performance / payment bond</t>
  </si>
  <si>
    <t xml:space="preserve">Pre-tax contract budget</t>
  </si>
  <si>
    <t xml:space="preserve">Bellevue retail sales tax</t>
  </si>
  <si>
    <t xml:space="preserve">BASE BID TOTAL — Q1 2027</t>
  </si>
  <si>
    <t xml:space="preserve">Tax assumption: 10.2% Bellevue retail sales tax applied to the total custom-construction contract price. Confirm Q1 2027 tax rate and contractor tax treatment before submission.</t>
  </si>
  <si>
    <t xml:space="preserve">Low planning range</t>
  </si>
  <si>
    <t xml:space="preserve">High planning range</t>
  </si>
  <si>
    <t xml:space="preserve">Owner alternates — standalone, excluded from base bid</t>
  </si>
  <si>
    <t xml:space="preserve">Alternate</t>
  </si>
  <si>
    <t xml:space="preserve">Direct cost</t>
  </si>
  <si>
    <t xml:space="preserve">Pre-tax budget</t>
  </si>
  <si>
    <t xml:space="preserve">Sales tax</t>
  </si>
  <si>
    <t xml:space="preserve">Total if accepted</t>
  </si>
  <si>
    <t xml:space="preserve">1 · Floor-mounted toilets (8 EA)</t>
  </si>
  <si>
    <t xml:space="preserve">2 · Like-in-kind bathtubs (4 EA)</t>
  </si>
  <si>
    <t xml:space="preserve">Base + both alternates</t>
  </si>
  <si>
    <t xml:space="preserve">Direct-cost distribution</t>
  </si>
  <si>
    <t xml:space="preserve">Work product</t>
  </si>
  <si>
    <t xml:space="preserve">Share of base direct</t>
  </si>
  <si>
    <t xml:space="preserve">Unit direct costs (excluding building-wide allocations)</t>
  </si>
  <si>
    <t xml:space="preserve">WP1</t>
  </si>
  <si>
    <t xml:space="preserve">B101</t>
  </si>
  <si>
    <t xml:space="preserve">WP2</t>
  </si>
  <si>
    <t xml:space="preserve">B102</t>
  </si>
  <si>
    <t xml:space="preserve">WP3</t>
  </si>
  <si>
    <t xml:space="preserve">B103</t>
  </si>
  <si>
    <t xml:space="preserve">Allowance</t>
  </si>
  <si>
    <t xml:space="preserve">B104</t>
  </si>
  <si>
    <t xml:space="preserve">Before using this estimate: verify underground routes and inverts, structural demolition protocol, wall / fire assemblies, actual finish boundaries, radiant-floor scope, fixture configurations, final EHF-2 selection, supplier quotes, subcontractor coverage, permit fees, schedule, tax and bond. No price is included for Buildings A or C, upper-floor finish work, replacement of the 8-inch side sewer, or unforeseeable utility / structural repairs.</t>
  </si>
  <si>
    <t xml:space="preserve">Pricing assumptions · Bellevue · Q1 2027</t>
  </si>
  <si>
    <t xml:space="preserve">Open-shop / non-union budget estimate in first-quarter 2027 dollars. Blue cells are editable commercial and estimating inputs.</t>
  </si>
  <si>
    <t xml:space="preserve">Input</t>
  </si>
  <si>
    <t xml:space="preserve">Value</t>
  </si>
  <si>
    <t xml:space="preserve">Unit</t>
  </si>
  <si>
    <t xml:space="preserve">Application / source</t>
  </si>
  <si>
    <t xml:space="preserve">Q1 2027 escalation from Q4 2026</t>
  </si>
  <si>
    <t xml:space="preserve">%</t>
  </si>
  <si>
    <t xml:space="preserve">Estimator assumption informed by Seattle cost-index trends; applied to material, equipment, other direct costs and crew rates.</t>
  </si>
  <si>
    <t xml:space="preserve">Coordinating-model and occupied-renovation uncertainty; not a contractor-quote allowance.</t>
  </si>
  <si>
    <t xml:space="preserve">Corporate overhead, insurance and administration; direct project supervision remains in the takeoff.</t>
  </si>
  <si>
    <t xml:space="preserve">Applied after direct cost, contingency and overhead.</t>
  </si>
  <si>
    <t xml:space="preserve">Budget rate; confirm surety and contract requirement.</t>
  </si>
  <si>
    <t xml:space="preserve">Applied to total custom-construction contract price per Washington DOR guidance; verify Q1 2027 rate before contract.</t>
  </si>
  <si>
    <t xml:space="preserve">Low planning factor</t>
  </si>
  <si>
    <t xml:space="preserve">x</t>
  </si>
  <si>
    <t xml:space="preserve">Planning range only; not statistical confidence.</t>
  </si>
  <si>
    <t xml:space="preserve">High planning factor</t>
  </si>
  <si>
    <t xml:space="preserve">Planning range only; excludes major unforeseen structural / utility conditions.</t>
  </si>
  <si>
    <t xml:space="preserve">Base price period</t>
  </si>
  <si>
    <t xml:space="preserve">Q4 2026</t>
  </si>
  <si>
    <t xml:space="preserve">date</t>
  </si>
  <si>
    <t xml:space="preserve">Market benchmarks and estimator unit-rate inputs.</t>
  </si>
  <si>
    <t xml:space="preserve">Estimate price period</t>
  </si>
  <si>
    <t xml:space="preserve">Q1 2027</t>
  </si>
  <si>
    <t xml:space="preserve">Requested pricing quarter.</t>
  </si>
  <si>
    <t xml:space="preserve">Labor basis</t>
  </si>
  <si>
    <t xml:space="preserve">Non-union / open shop</t>
  </si>
  <si>
    <t xml:space="preserve">text</t>
  </si>
  <si>
    <t xml:space="preserve">No prevailing-wage or union agreement rates used.</t>
  </si>
  <si>
    <t xml:space="preserve">Work schedule</t>
  </si>
  <si>
    <t xml:space="preserve">Normal weekday hours</t>
  </si>
  <si>
    <t xml:space="preserve">Occupied, phased access and daily restoration productivity included; no overtime premium.</t>
  </si>
  <si>
    <t xml:space="preserve">Estimate status</t>
  </si>
  <si>
    <t xml:space="preserve">ROM budget — not a bid</t>
  </si>
  <si>
    <t xml:space="preserve">Requires subcontractor / supplier quotes and field verification before commitment.</t>
  </si>
  <si>
    <t xml:space="preserve">Commercial interpretation</t>
  </si>
  <si>
    <t xml:space="preserve">• Addendum #1 bid-form unit prices and dollar allowances were blank; this workbook supplies independent budget prices, not awarded contract rates.</t>
  </si>
  <si>
    <t xml:space="preserve">• Contract allowances are priced as complete scope lines where the bid form / schedule expressly includes installation, overhead, profit, taxes and bond. For estimate transparency, those components are calculated in the Summary rather than hidden in each unit rate.</t>
  </si>
  <si>
    <t xml:space="preserve">• Allowance quantity adjustments must follow final accepted in-place measurement and Addendum #1 §§01 21 00 / 01 22 00. Supplier and subcontractor quotes are required before converting this budget into a bid.</t>
  </si>
  <si>
    <t xml:space="preserve">• Base bid excludes Alternate 1 and Alternate 2. Each alternate is priced independently in the Summary and is not included in the base total.</t>
  </si>
  <si>
    <t xml:space="preserve">• No additional cost is assigned to the informational concrete-volume line because the same physical work is already priced in the 700 SF concrete allowance.</t>
  </si>
  <si>
    <t xml:space="preserve">• Washington tax treatment is a budget assumption for a prime / general custom-construction contractor. Confirm entity role, reseller permits, jurisdiction and Q1 2027 tax rate with a tax professional.</t>
  </si>
  <si>
    <t xml:space="preserve">Open-shop crew rate buildups</t>
  </si>
  <si>
    <t xml:space="preserve">Base wages are editable Q4 2026 inputs. Burden covers payroll taxes, workers’ compensation, benefits and paid nonproductive time. Q1 2027 crew rates are formula-driven.</t>
  </si>
  <si>
    <t xml:space="preserve">Crew code</t>
  </si>
  <si>
    <t xml:space="preserve">Crew / composition</t>
  </si>
  <si>
    <t xml:space="preserve">Base wage ($/hr)</t>
  </si>
  <si>
    <t xml:space="preserve">Labor burden</t>
  </si>
  <si>
    <t xml:space="preserve">Burdened Q4 rate ($/hr)</t>
  </si>
  <si>
    <t xml:space="preserve">Q1 escalation</t>
  </si>
  <si>
    <t xml:space="preserve">Q1 2027 crew rate ($/hr)</t>
  </si>
  <si>
    <t xml:space="preserve">Basis</t>
  </si>
  <si>
    <t xml:space="preserve">PLUMB</t>
  </si>
  <si>
    <t xml:space="preserve">1 plumber + 2 apprentices (contract 2:1 ratio)</t>
  </si>
  <si>
    <t xml:space="preserve">Local BLS plumber benchmark; open-shop blended crew input</t>
  </si>
  <si>
    <t xml:space="preserve">CARP</t>
  </si>
  <si>
    <t xml:space="preserve">Finish carpenter / cabinet restoration</t>
  </si>
  <si>
    <t xml:space="preserve">Local BLS carpenter benchmark; open-shop input</t>
  </si>
  <si>
    <t xml:space="preserve">LABOR</t>
  </si>
  <si>
    <t xml:space="preserve">General construction labor / protection</t>
  </si>
  <si>
    <t xml:space="preserve">Local BLS laborer benchmark; open-shop input</t>
  </si>
  <si>
    <t xml:space="preserve">TILE</t>
  </si>
  <si>
    <t xml:space="preserve">Tile setter + helper blended crew</t>
  </si>
  <si>
    <t xml:space="preserve">Estimator blended open-shop crew</t>
  </si>
  <si>
    <t xml:space="preserve">FLOOR</t>
  </si>
  <si>
    <t xml:space="preserve">Wood / resilient flooring installer</t>
  </si>
  <si>
    <t xml:space="preserve">Estimator open-shop crew</t>
  </si>
  <si>
    <t xml:space="preserve">CARPET</t>
  </si>
  <si>
    <t xml:space="preserve">Carpet installer</t>
  </si>
  <si>
    <t xml:space="preserve">PAINT</t>
  </si>
  <si>
    <t xml:space="preserve">Painter / wall-finishing crew</t>
  </si>
  <si>
    <t xml:space="preserve">ELEC</t>
  </si>
  <si>
    <t xml:space="preserve">Licensed electrician</t>
  </si>
  <si>
    <t xml:space="preserve">Local BLS electrician benchmark; open-shop input</t>
  </si>
  <si>
    <t xml:space="preserve">CONC</t>
  </si>
  <si>
    <t xml:space="preserve">Concrete / excavation blended crew</t>
  </si>
  <si>
    <t xml:space="preserve">Estimator concrete finisher + labor crew</t>
  </si>
  <si>
    <t xml:space="preserve">ADMIN</t>
  </si>
  <si>
    <t xml:space="preserve">Project administration / closeout</t>
  </si>
  <si>
    <t xml:space="preserve">Estimator project administration input</t>
  </si>
  <si>
    <t xml:space="preserve">SUP</t>
  </si>
  <si>
    <t xml:space="preserve">Working superintendent / project supervision</t>
  </si>
  <si>
    <t xml:space="preserve">Estimator direct project supervision input</t>
  </si>
  <si>
    <t xml:space="preserve">Priced takeoff · Q1 2027</t>
  </si>
  <si>
    <t xml:space="preserve">Standalone budget pricing of the comprehensive takeoff. Quantities are carried from the validated takeoff; costs are formulas. Base-bid and alternate work remain separate.</t>
  </si>
  <si>
    <t xml:space="preserve">Item</t>
  </si>
  <si>
    <t xml:space="preserve">Division</t>
  </si>
  <si>
    <t xml:space="preserve">Takeoff category</t>
  </si>
  <si>
    <t xml:space="preserve">Scope description</t>
  </si>
  <si>
    <t xml:space="preserve">Quantity</t>
  </si>
  <si>
    <t xml:space="preserve">UoM</t>
  </si>
  <si>
    <t xml:space="preserve">Pricing method</t>
  </si>
  <si>
    <t xml:space="preserve">Base material / unit</t>
  </si>
  <si>
    <t xml:space="preserve">Q1 material / unit</t>
  </si>
  <si>
    <t xml:space="preserve">Labor hr / unit</t>
  </si>
  <si>
    <t xml:space="preserve">Crew</t>
  </si>
  <si>
    <t xml:space="preserve">Q1 crew $ / hr</t>
  </si>
  <si>
    <t xml:space="preserve">Base equip / unit</t>
  </si>
  <si>
    <t xml:space="preserve">Base other / unit</t>
  </si>
  <si>
    <t xml:space="preserve">Material cost</t>
  </si>
  <si>
    <t xml:space="preserve">Labor cost</t>
  </si>
  <si>
    <t xml:space="preserve">Equipment cost</t>
  </si>
  <si>
    <t xml:space="preserve">Other direct cost</t>
  </si>
  <si>
    <t xml:space="preserve">Direct unit cost</t>
  </si>
  <si>
    <t xml:space="preserve">Confidence</t>
  </si>
  <si>
    <t xml:space="preserve">Pricing basis</t>
  </si>
  <si>
    <t xml:space="preserve">Pricing note / assumption</t>
  </si>
  <si>
    <t xml:space="preserve">T-001</t>
  </si>
  <si>
    <t xml:space="preserve">22 — Plumbing</t>
  </si>
  <si>
    <t xml:space="preserve">DWV - New ABS</t>
  </si>
  <si>
    <t xml:space="preserve">New Schedule 40 solid-core ABS, 2-inch nominal</t>
  </si>
  <si>
    <t xml:space="preserve">LF</t>
  </si>
  <si>
    <t xml:space="preserve">Model-derived unit rate</t>
  </si>
  <si>
    <t xml:space="preserve">Medium</t>
  </si>
  <si>
    <t xml:space="preserve">Pipe + representative fittings / solvents; excavation and slab work priced separately</t>
  </si>
  <si>
    <t xml:space="preserve">T-002</t>
  </si>
  <si>
    <t xml:space="preserve">New Schedule 40 solid-core ABS, 3-inch nominal</t>
  </si>
  <si>
    <t xml:space="preserve">T-003</t>
  </si>
  <si>
    <t xml:space="preserve">New Schedule 40 solid-core ABS, 4-inch nominal</t>
  </si>
  <si>
    <t xml:space="preserve">T-004</t>
  </si>
  <si>
    <t xml:space="preserve">New Schedule 40 solid-core ABS, 6-inch nominal</t>
  </si>
  <si>
    <t xml:space="preserve">T-005</t>
  </si>
  <si>
    <t xml:space="preserve">22 / 09 / 26</t>
  </si>
  <si>
    <t xml:space="preserve">Fixtures - Base R&amp;R</t>
  </si>
  <si>
    <t xml:space="preserve">Kitchen sink / cabinet</t>
  </si>
  <si>
    <t xml:space="preserve">EA</t>
  </si>
  <si>
    <t xml:space="preserve">Fixture R&amp;R unit rate</t>
  </si>
  <si>
    <t xml:space="preserve">Existing fixture reuse unless alternate accepted</t>
  </si>
  <si>
    <t xml:space="preserve">T-006</t>
  </si>
  <si>
    <t xml:space="preserve">Water closets</t>
  </si>
  <si>
    <t xml:space="preserve">T-007</t>
  </si>
  <si>
    <t xml:space="preserve">Bathtubs</t>
  </si>
  <si>
    <t xml:space="preserve">T-008</t>
  </si>
  <si>
    <t xml:space="preserve">Showers / enclosures</t>
  </si>
  <si>
    <t xml:space="preserve">T-009</t>
  </si>
  <si>
    <t xml:space="preserve">Lavatories / cabinets</t>
  </si>
  <si>
    <t xml:space="preserve">T-010</t>
  </si>
  <si>
    <t xml:space="preserve">Washing machines</t>
  </si>
  <si>
    <t xml:space="preserve">T-011</t>
  </si>
  <si>
    <t xml:space="preserve">Dryers</t>
  </si>
  <si>
    <t xml:space="preserve">T-012</t>
  </si>
  <si>
    <t xml:space="preserve">DWV - Accessories</t>
  </si>
  <si>
    <t xml:space="preserve">Base-of-stack cleanouts</t>
  </si>
  <si>
    <t xml:space="preserve">Accessory unit rate</t>
  </si>
  <si>
    <t xml:space="preserve">Final count and access field verify</t>
  </si>
  <si>
    <t xml:space="preserve">T-013</t>
  </si>
  <si>
    <t xml:space="preserve">Vertical stack tie-ins</t>
  </si>
  <si>
    <t xml:space="preserve">T-014</t>
  </si>
  <si>
    <t xml:space="preserve">4-to-6-inch transition couplings</t>
  </si>
  <si>
    <t xml:space="preserve">T-015</t>
  </si>
  <si>
    <t xml:space="preserve">Exterior lateral cleanouts</t>
  </si>
  <si>
    <t xml:space="preserve">T-016</t>
  </si>
  <si>
    <t xml:space="preserve">Water-test plugs</t>
  </si>
  <si>
    <t xml:space="preserve">T-017</t>
  </si>
  <si>
    <t xml:space="preserve">Testing</t>
  </si>
  <si>
    <t xml:space="preserve">Leak test with water per City of Bellevue; do not air test</t>
  </si>
  <si>
    <t xml:space="preserve">TEST</t>
  </si>
  <si>
    <t xml:space="preserve">Document-defined test</t>
  </si>
  <si>
    <t xml:space="preserve">Per-test budget</t>
  </si>
  <si>
    <t xml:space="preserve">Water test; no air testing</t>
  </si>
  <si>
    <t xml:space="preserve">T-018</t>
  </si>
  <si>
    <t xml:space="preserve">T-019</t>
  </si>
  <si>
    <t xml:space="preserve">T-020</t>
  </si>
  <si>
    <t xml:space="preserve">T-021</t>
  </si>
  <si>
    <t xml:space="preserve">T-022</t>
  </si>
  <si>
    <t xml:space="preserve">T-023</t>
  </si>
  <si>
    <t xml:space="preserve">T-024</t>
  </si>
  <si>
    <t xml:space="preserve">T-025</t>
  </si>
  <si>
    <t xml:space="preserve">T-026</t>
  </si>
  <si>
    <t xml:space="preserve">T-027</t>
  </si>
  <si>
    <t xml:space="preserve">T-028</t>
  </si>
  <si>
    <t xml:space="preserve">T-029</t>
  </si>
  <si>
    <t xml:space="preserve">T-030</t>
  </si>
  <si>
    <t xml:space="preserve">T-031</t>
  </si>
  <si>
    <t xml:space="preserve">T-032</t>
  </si>
  <si>
    <t xml:space="preserve">T-033</t>
  </si>
  <si>
    <t xml:space="preserve">T-034</t>
  </si>
  <si>
    <t xml:space="preserve">T-035</t>
  </si>
  <si>
    <t xml:space="preserve">T-036</t>
  </si>
  <si>
    <t xml:space="preserve">T-037</t>
  </si>
  <si>
    <t xml:space="preserve">T-038</t>
  </si>
  <si>
    <t xml:space="preserve">T-039</t>
  </si>
  <si>
    <t xml:space="preserve">T-040</t>
  </si>
  <si>
    <t xml:space="preserve">T-041</t>
  </si>
  <si>
    <t xml:space="preserve">T-042</t>
  </si>
  <si>
    <t xml:space="preserve">T-043</t>
  </si>
  <si>
    <t xml:space="preserve">T-044</t>
  </si>
  <si>
    <t xml:space="preserve">T-045</t>
  </si>
  <si>
    <t xml:space="preserve">T-046</t>
  </si>
  <si>
    <t xml:space="preserve">T-047</t>
  </si>
  <si>
    <t xml:space="preserve">T-048</t>
  </si>
  <si>
    <t xml:space="preserve">T-049</t>
  </si>
  <si>
    <t xml:space="preserve">T-050</t>
  </si>
  <si>
    <t xml:space="preserve">T-051</t>
  </si>
  <si>
    <t xml:space="preserve">T-052</t>
  </si>
  <si>
    <t xml:space="preserve">T-053</t>
  </si>
  <si>
    <t xml:space="preserve">T-054</t>
  </si>
  <si>
    <t xml:space="preserve">T-055</t>
  </si>
  <si>
    <t xml:space="preserve">T-056</t>
  </si>
  <si>
    <t xml:space="preserve">T-057</t>
  </si>
  <si>
    <t xml:space="preserve">T-058</t>
  </si>
  <si>
    <t xml:space="preserve">T-059</t>
  </si>
  <si>
    <t xml:space="preserve">T-060</t>
  </si>
  <si>
    <t xml:space="preserve">T-061</t>
  </si>
  <si>
    <t xml:space="preserve">T-062</t>
  </si>
  <si>
    <t xml:space="preserve">T-063</t>
  </si>
  <si>
    <t xml:space="preserve">T-064</t>
  </si>
  <si>
    <t xml:space="preserve">T-065</t>
  </si>
  <si>
    <t xml:space="preserve">T-066</t>
  </si>
  <si>
    <t xml:space="preserve">T-067</t>
  </si>
  <si>
    <t xml:space="preserve">T-068</t>
  </si>
  <si>
    <t xml:space="preserve">T-069</t>
  </si>
  <si>
    <t xml:space="preserve">09 — Finishes</t>
  </si>
  <si>
    <t xml:space="preserve">Finishes - Tile/Stone</t>
  </si>
  <si>
    <t xml:space="preserve">AL-1a · PT-6 · Porcelain tile — Evolution Ivory, polished, 12×24, Surface Art</t>
  </si>
  <si>
    <t xml:space="preserve">SF</t>
  </si>
  <si>
    <t xml:space="preserve">Contract allowance unit rate</t>
  </si>
  <si>
    <t xml:space="preserve">Complete removal / replacement budget; final selection and in-place measurement required</t>
  </si>
  <si>
    <t xml:space="preserve">T-070</t>
  </si>
  <si>
    <t xml:space="preserve">AL-1b · PT-7 · Porcelain tile — Evolution Ivory, polished, 2×2, Surface Art</t>
  </si>
  <si>
    <t xml:space="preserve">T-071</t>
  </si>
  <si>
    <t xml:space="preserve">AL-1c · PT-8 · Porcelain tile — Bernini Bianco, polished, 12×24, MSI Surfaces</t>
  </si>
  <si>
    <t xml:space="preserve">T-072</t>
  </si>
  <si>
    <t xml:space="preserve">Finishes - Carpet</t>
  </si>
  <si>
    <t xml:space="preserve">AL-1d · C-1 · Carpet — Knitted Tone Blue 5E938, Colorwall Soft Sand 00105, Shaw Floors</t>
  </si>
  <si>
    <t xml:space="preserve">T-073</t>
  </si>
  <si>
    <t xml:space="preserve">AL-2a · NS-3 · Marble Statuario, 12×24, honed, Daltile; tub/shower surround and bathroom floor</t>
  </si>
  <si>
    <t xml:space="preserve">T-074</t>
  </si>
  <si>
    <t xml:space="preserve">AL-2b · PT-9 · Meta Light Gray porcelain, SA06, 2×2, matte; shower floor</t>
  </si>
  <si>
    <t xml:space="preserve">T-075</t>
  </si>
  <si>
    <t xml:space="preserve">AL-2c · PT-10 · Matte White Octagon / White Dot, 6501, Daltile</t>
  </si>
  <si>
    <t xml:space="preserve">T-076</t>
  </si>
  <si>
    <t xml:space="preserve">AL-2d · PT-11 · Hudson Penny Round Cashmere Blue porcelain mosaic, FKOMPR36, Merola</t>
  </si>
  <si>
    <t xml:space="preserve">T-077</t>
  </si>
  <si>
    <t xml:space="preserve">AL-2e · PT-12 · Perpetuo Elegant Beige geometric porcelain, PT22, 12×24, Daltile</t>
  </si>
  <si>
    <t xml:space="preserve">T-078</t>
  </si>
  <si>
    <t xml:space="preserve">AL-2f · GT-1 · Oceanique Ocean Sparkle Sky Blue glass subway tile, 2×12, Anthology</t>
  </si>
  <si>
    <t xml:space="preserve">T-079</t>
  </si>
  <si>
    <t xml:space="preserve">AL-2g · NS-2 · Pental Pluvium tile; confirm final selection and match with Owner</t>
  </si>
  <si>
    <t xml:space="preserve">T-080</t>
  </si>
  <si>
    <t xml:space="preserve">Finishes - Wood</t>
  </si>
  <si>
    <t xml:space="preserve">AL-3a · EHF-1 · Engineered hardwood — GW304 European White Oak, Character, 9/16×7.5×75 RL</t>
  </si>
  <si>
    <t xml:space="preserve">T-081</t>
  </si>
  <si>
    <t xml:space="preserve">AL-4a · PT-1 · Shen Series White Shades porcelain, 12×24, Arizona Tile</t>
  </si>
  <si>
    <t xml:space="preserve">T-082</t>
  </si>
  <si>
    <t xml:space="preserve">AL-4b · PT-2 · Shen Series White Shades porcelain mosaic, 2×2, Arizona Tile</t>
  </si>
  <si>
    <t xml:space="preserve">T-083</t>
  </si>
  <si>
    <t xml:space="preserve">AL-4c · PT-3 · Marvel Series Black Atlantis polished porcelain, 12×24, Arizona Tile</t>
  </si>
  <si>
    <t xml:space="preserve">T-084</t>
  </si>
  <si>
    <t xml:space="preserve">AL-4d · PT-4 · NOBLEZA ASTORGA porcelain tile, 12×12, matte, Emser</t>
  </si>
  <si>
    <t xml:space="preserve">T-085</t>
  </si>
  <si>
    <t xml:space="preserve">AL-4e · PT-5 · CABIN YOSEMITE porcelain tile, 6×24, matte, Emser</t>
  </si>
  <si>
    <t xml:space="preserve">T-086</t>
  </si>
  <si>
    <t xml:space="preserve">AL-5a · CT-1 · Rainfall C Series ceramic backsplash, 4×16 Torrent White, Tierra Sol</t>
  </si>
  <si>
    <t xml:space="preserve">T-087</t>
  </si>
  <si>
    <t xml:space="preserve">AL-5b · CT-2 · Subway Lab Cotton Gloss ceramic, 3×12 New Bevel; bathtub surround</t>
  </si>
  <si>
    <t xml:space="preserve">T-088</t>
  </si>
  <si>
    <t xml:space="preserve">AL-5c · NS-1 · Rockwood Limestone, 1×3 herringbone mosaic, honed, Z Collections</t>
  </si>
  <si>
    <t xml:space="preserve">T-089</t>
  </si>
  <si>
    <t xml:space="preserve">AL-5d · NS-2 · Pental PLUVIUM 2, 12×24 Gesso; bathroom floors/walls and laundry floors</t>
  </si>
  <si>
    <t xml:space="preserve">T-090</t>
  </si>
  <si>
    <t xml:space="preserve">AL-6a · EHF-2 · Engineered wood — Addendum lists Shaw 3415V Fresh Take 02124 Brentwood Tan and Mohawk Coastal Couture Beechwood Oak WEMO 3 #27; Owner to confirm</t>
  </si>
  <si>
    <t xml:space="preserve">Low</t>
  </si>
  <si>
    <t xml:space="preserve">T-091</t>
  </si>
  <si>
    <t xml:space="preserve">03 / 07 / 09</t>
  </si>
  <si>
    <t xml:space="preserve">Concrete - Allowance</t>
  </si>
  <si>
    <t xml:space="preserve">Building B</t>
  </si>
  <si>
    <t xml:space="preserve">AL-7 · CONC-1 · Concrete cutting, excavation, backfill and repair including vapor barrier, crystalline additive and concrete patching</t>
  </si>
  <si>
    <t xml:space="preserve">Sawcut, excavation, backfill and 3000 psi slab repair; vapor barrier separately itemized</t>
  </si>
  <si>
    <t xml:space="preserve">T-092</t>
  </si>
  <si>
    <t xml:space="preserve">Finishes - Countertop</t>
  </si>
  <si>
    <t xml:space="preserve">AL-8a · QCT-1 · Pental Quartz countertop — Borghini Polished</t>
  </si>
  <si>
    <t xml:space="preserve">T-093</t>
  </si>
  <si>
    <t xml:space="preserve">07 — Moisture protection</t>
  </si>
  <si>
    <t xml:space="preserve">Concrete - Vapor barrier</t>
  </si>
  <si>
    <t xml:space="preserve">Stegowrap 15-mil Class A vapor barrier; net area equal to concrete allowance</t>
  </si>
  <si>
    <t xml:space="preserve">Derived allowance unit rate</t>
  </si>
  <si>
    <t xml:space="preserve">15-mil barrier, tape / laps and waste; net area follows concrete allowance</t>
  </si>
  <si>
    <t xml:space="preserve">T-094</t>
  </si>
  <si>
    <t xml:space="preserve">03 — Concrete</t>
  </si>
  <si>
    <t xml:space="preserve">Concrete - Derived volume</t>
  </si>
  <si>
    <t xml:space="preserve">Planning concrete volume at assumed 5.5-inch slab thickness</t>
  </si>
  <si>
    <t xml:space="preserve">CY</t>
  </si>
  <si>
    <t xml:space="preserve">Informational — no additional cost</t>
  </si>
  <si>
    <t xml:space="preserve">Included</t>
  </si>
  <si>
    <t xml:space="preserve">Same work already included in AL-7; no double count</t>
  </si>
  <si>
    <t xml:space="preserve">T-095</t>
  </si>
  <si>
    <t xml:space="preserve">01 — General</t>
  </si>
  <si>
    <t xml:space="preserve">General</t>
  </si>
  <si>
    <t xml:space="preserve">Mobilization, supervision, labor, materials, tools, equipment, permits, taxes, bond, overhead, profit and warranty</t>
  </si>
  <si>
    <t xml:space="preserve">LS</t>
  </si>
  <si>
    <t xml:space="preserve">Document scope / estimator allowance</t>
  </si>
  <si>
    <t xml:space="preserve">LS budget</t>
  </si>
  <si>
    <t xml:space="preserve">T-096</t>
  </si>
  <si>
    <t xml:space="preserve">Phase work so units can remain occupied; coordinate resident access and interruptions</t>
  </si>
  <si>
    <t xml:space="preserve">UNIT</t>
  </si>
  <si>
    <t xml:space="preserve">Per-unit budget</t>
  </si>
  <si>
    <t xml:space="preserve">T-097</t>
  </si>
  <si>
    <t xml:space="preserve">General - Staging</t>
  </si>
  <si>
    <t xml:space="preserve">Approximate staging / storage area made available by Association</t>
  </si>
  <si>
    <t xml:space="preserve">Temporary works unit rate</t>
  </si>
  <si>
    <t xml:space="preserve">T-098</t>
  </si>
  <si>
    <t xml:space="preserve">Preconstruction room-content and existing-condition photographic record</t>
  </si>
  <si>
    <t xml:space="preserve">High</t>
  </si>
  <si>
    <t xml:space="preserve">Per-unit documentation</t>
  </si>
  <si>
    <t xml:space="preserve">T-099</t>
  </si>
  <si>
    <t xml:space="preserve">Weekly construction meetings, special temporary-condition procedures and 48-hour shutoff notices</t>
  </si>
  <si>
    <t xml:space="preserve">LS duration allowance</t>
  </si>
  <si>
    <t xml:space="preserve">T-100</t>
  </si>
  <si>
    <t xml:space="preserve">Typical wall, flooring and cabinetry repair mockups; 24×24-inch substitute-finish mockup where required</t>
  </si>
  <si>
    <t xml:space="preserve">LS mockup allowance</t>
  </si>
  <si>
    <t xml:space="preserve">T-101</t>
  </si>
  <si>
    <t xml:space="preserve">02 — Demolition</t>
  </si>
  <si>
    <t xml:space="preserve">Demolition</t>
  </si>
  <si>
    <t xml:space="preserve">Remove existing cast-iron DW pipe, fittings and components; abandonment only with Engineer approval and void fill</t>
  </si>
  <si>
    <t xml:space="preserve">LS demolition allowance; slab work excluded</t>
  </si>
  <si>
    <t xml:space="preserve">T-102</t>
  </si>
  <si>
    <t xml:space="preserve">Structural coordination</t>
  </si>
  <si>
    <t xml:space="preserve">Notify Designer before structural concrete cutting and follow issued demolition / repair protocol</t>
  </si>
  <si>
    <t xml:space="preserve">LS coordination allowance</t>
  </si>
  <si>
    <t xml:space="preserve">T-103</t>
  </si>
  <si>
    <t xml:space="preserve">Moisture protection</t>
  </si>
  <si>
    <t xml:space="preserve">Vapor-mitigating epoxy primer rated for 100% RH and MVER up to 25 lb; ASTM F1869 testing</t>
  </si>
  <si>
    <t xml:space="preserve">Provisional LS</t>
  </si>
  <si>
    <t xml:space="preserve">T-104</t>
  </si>
  <si>
    <t xml:space="preserve">07 / 09</t>
  </si>
  <si>
    <t xml:space="preserve">Waterproofing</t>
  </si>
  <si>
    <t xml:space="preserve">Compatible waterproofing and crack-isolation system with qualifying 25-year manufacturer system warranty</t>
  </si>
  <si>
    <t xml:space="preserve">T-105</t>
  </si>
  <si>
    <t xml:space="preserve">Basic finishes</t>
  </si>
  <si>
    <t xml:space="preserve">Gypsum board patching to match layers, thickness, moisture, acoustic and fire performance; Level 5 paint / Level 4 wallpaper finish</t>
  </si>
  <si>
    <t xml:space="preserve">T-106</t>
  </si>
  <si>
    <t xml:space="preserve">Paint entire wall plane floor-to-ceiling and corner-to-corner; match color, sheen, texture, trim and wall base</t>
  </si>
  <si>
    <t xml:space="preserve">T-107</t>
  </si>
  <si>
    <t xml:space="preserve">Acoustics / fire</t>
  </si>
  <si>
    <t xml:space="preserve">Reinstall insulation; meet IBC 2021 §1206 minimum STC 50 where applicable; UL-listed firestop at rated penetrations</t>
  </si>
  <si>
    <t xml:space="preserve">T-108</t>
  </si>
  <si>
    <t xml:space="preserve">Custom finishes</t>
  </si>
  <si>
    <t xml:space="preserve">Replace removed 220 V heated-coil radiant flooring like-in-kind where it cannot be reused</t>
  </si>
  <si>
    <t xml:space="preserve">Conditional provisional sum</t>
  </si>
  <si>
    <t xml:space="preserve">T-109</t>
  </si>
  <si>
    <t xml:space="preserve">Cabinetry / counters</t>
  </si>
  <si>
    <t xml:space="preserve">Remove for reuse and reinstall cabinets/countertops; replace damage and complete affected sink work as directed</t>
  </si>
  <si>
    <t xml:space="preserve">Provisional LS; QCT-1 excluded</t>
  </si>
  <si>
    <t xml:space="preserve">T-110</t>
  </si>
  <si>
    <t xml:space="preserve">DWV - Vertical exposure</t>
  </si>
  <si>
    <t xml:space="preserve">Expose and remove sufficient vertical stack piping for compliant horizontal connections</t>
  </si>
  <si>
    <t xml:space="preserve">LOCATION</t>
  </si>
  <si>
    <t xml:space="preserve">Per-location budget</t>
  </si>
  <si>
    <t xml:space="preserve">T-111</t>
  </si>
  <si>
    <t xml:space="preserve">DWV - Fixture traps</t>
  </si>
  <si>
    <t xml:space="preserve">New p-traps at modeled fixture groups</t>
  </si>
  <si>
    <t xml:space="preserve">Per-trap budget</t>
  </si>
  <si>
    <t xml:space="preserve">T-112</t>
  </si>
  <si>
    <t xml:space="preserve">General plumbing</t>
  </si>
  <si>
    <t xml:space="preserve">Trap primers for new or replaced floor drains</t>
  </si>
  <si>
    <t xml:space="preserve">T-113</t>
  </si>
  <si>
    <t xml:space="preserve">Supports, restraints, approved fittings, adapters, solvents, adhesives and code-compliant cleanouts</t>
  </si>
  <si>
    <t xml:space="preserve">LS fittings / supports allowance</t>
  </si>
  <si>
    <t xml:space="preserve">T-114</t>
  </si>
  <si>
    <t xml:space="preserve">26 — Electrical</t>
  </si>
  <si>
    <t xml:space="preserve">Electrical coordination</t>
  </si>
  <si>
    <t xml:space="preserve">Disconnect and reconnect light fixtures or outlets required to move cabinets; coordinate shutoffs</t>
  </si>
  <si>
    <t xml:space="preserve">T-115</t>
  </si>
  <si>
    <t xml:space="preserve">01 — Closeout</t>
  </si>
  <si>
    <t xml:space="preserve">Closeout</t>
  </si>
  <si>
    <t xml:space="preserve">Association</t>
  </si>
  <si>
    <t xml:space="preserve">Hard-copy as-built / documentation sets including 24×36-inch dimensioned drawings</t>
  </si>
  <si>
    <t xml:space="preserve">SET</t>
  </si>
  <si>
    <t xml:space="preserve">Per-set budget</t>
  </si>
  <si>
    <t xml:space="preserve">T-116</t>
  </si>
  <si>
    <t xml:space="preserve">Association + Engineer</t>
  </si>
  <si>
    <t xml:space="preserve">USB digital documentation sets: two to Association and one to Engineer</t>
  </si>
  <si>
    <t xml:space="preserve">T-117</t>
  </si>
  <si>
    <t xml:space="preserve">Pre-backfill piping, stack tie-in, slab demolition, structural interface, slab replacement and waterproofing photographs</t>
  </si>
  <si>
    <t xml:space="preserve">LS photo / records allowance</t>
  </si>
  <si>
    <t xml:space="preserve">T-118</t>
  </si>
  <si>
    <t xml:space="preserve">Unit-owner completion sign-offs and scanned punch-list / sign-off documents</t>
  </si>
  <si>
    <t xml:space="preserve">Per-unit closeout budget</t>
  </si>
  <si>
    <t xml:space="preserve">T-119</t>
  </si>
  <si>
    <t xml:space="preserve">Alternate 1</t>
  </si>
  <si>
    <t xml:space="preserve">Alternate - Fixtures</t>
  </si>
  <si>
    <t xml:space="preserve">Replace existing wall-hung water closets with new floor-mounted water closets</t>
  </si>
  <si>
    <t xml:space="preserve">Owner alternate</t>
  </si>
  <si>
    <t xml:space="preserve">New floor-mounted WC and connection / adjacent work; excluded from base</t>
  </si>
  <si>
    <t xml:space="preserve">T-120</t>
  </si>
  <si>
    <t xml:space="preserve">Alternate 2</t>
  </si>
  <si>
    <t xml:space="preserve">22 / 09</t>
  </si>
  <si>
    <t xml:space="preserve">Replace existing bathtub with new like-in-kind bathtub</t>
  </si>
  <si>
    <t xml:space="preserve">Like-in-kind tub and adjacent work; excluded from base</t>
  </si>
  <si>
    <t xml:space="preserve">T-121</t>
  </si>
  <si>
    <t xml:space="preserve">T-122</t>
  </si>
  <si>
    <t xml:space="preserve">T-123</t>
  </si>
  <si>
    <t xml:space="preserve">T-124</t>
  </si>
  <si>
    <t xml:space="preserve">T-125</t>
  </si>
  <si>
    <t xml:space="preserve">T-126</t>
  </si>
  <si>
    <t xml:space="preserve">Pricing sources &amp; estimating basis</t>
  </si>
  <si>
    <t xml:space="preserve">Web benchmarks support selected inputs; they are not subcontractor or supplier quotes. All remaining unit rates, production factors and markups are explicitly identified as estimator assumptions.</t>
  </si>
  <si>
    <t xml:space="preserve">Source Name</t>
  </si>
  <si>
    <t xml:space="preserve">Source URL</t>
  </si>
  <si>
    <t xml:space="preserve">Used for</t>
  </si>
  <si>
    <t xml:space="preserve">Date / period</t>
  </si>
  <si>
    <t xml:space="preserve">Application and limitation</t>
  </si>
  <si>
    <t xml:space="preserve">U.S. Bureau of Labor Statistics — Seattle-Tacoma-Bellevue OEWS</t>
  </si>
  <si>
    <t xml:space="preserve">https://www.bls.gov/regions/west/news-release/occupationalemploymentandwages_seattle.htm</t>
  </si>
  <si>
    <t xml:space="preserve">Local construction wage benchmarks</t>
  </si>
  <si>
    <t xml:space="preserve">May 2025 / released 2026</t>
  </si>
  <si>
    <t xml:space="preserve">Local occupational wage context; crew wages remain open-shop estimator inputs, not quoted payroll rates.</t>
  </si>
  <si>
    <t xml:space="preserve">Mortenson — Seattle Construction Cost Index</t>
  </si>
  <si>
    <t xml:space="preserve">https://www.mortenson.com/cost-index/seattle</t>
  </si>
  <si>
    <t xml:space="preserve">Escalation context</t>
  </si>
  <si>
    <t xml:space="preserve">Q2 2026</t>
  </si>
  <si>
    <t xml:space="preserve">Seattle nonresidential index reported +1.71% quarterly and +3.48% year over year; workbook uses a separate 1.25% Q4-to-Q1 estimator assumption.</t>
  </si>
  <si>
    <t xml:space="preserve">Washington Department of Revenue — Construction tax matrix</t>
  </si>
  <si>
    <t xml:space="preserve">https://dor.wa.gov/education/industry-guides/construction/construction-tax-matrix</t>
  </si>
  <si>
    <t xml:space="preserve">Sales-tax treatment</t>
  </si>
  <si>
    <t xml:space="preserve">Current guidance accessed 2026</t>
  </si>
  <si>
    <t xml:space="preserve">Prime / general custom construction: retail sales tax is collected on the total contract price. Confirm project-specific tax treatment.</t>
  </si>
  <si>
    <t xml:space="preserve">City of Bellevue 2025–2026 Adopted Budget</t>
  </si>
  <si>
    <t xml:space="preserve">https://bellevuewa.gov/sites/default/files/media/file/2025/2025-2026-adopted-budget.pdf</t>
  </si>
  <si>
    <t xml:space="preserve">Bellevue sales-tax rate</t>
  </si>
  <si>
    <t xml:space="preserve">2025–2026 budget</t>
  </si>
  <si>
    <t xml:space="preserve">States a 10.2% total sales-tax rate; verify the effective Q1 2027 rate before contract.</t>
  </si>
  <si>
    <t xml:space="preserve">Home Depot — 4-inch ABS DWV pipe</t>
  </si>
  <si>
    <t xml:space="preserve">https://www.homedepot.com/p/Plastic-Services-4-in-x-10-ft-ABS-DWV-Pipe-ABS10-4/202564275</t>
  </si>
  <si>
    <t xml:space="preserve">ABS material sanity check</t>
  </si>
  <si>
    <t xml:space="preserve">Accessed 2026</t>
  </si>
  <si>
    <t xml:space="preserve">Retail 10-foot pipe listing; workbook material rates also include representative fittings / solvents and are not supplier quotes.</t>
  </si>
  <si>
    <t xml:space="preserve">Stego — StegoHome 15-mil vapor barrier</t>
  </si>
  <si>
    <t xml:space="preserve">https://shop.stegoindustries.com/stegohome-wrap-15-mil-vapor-and-radon-barrier-12-x-50/</t>
  </si>
  <si>
    <t xml:space="preserve">Vapor-barrier material sanity check</t>
  </si>
  <si>
    <t xml:space="preserve">Retail roll listing; project specification requires the applicable Stego Wrap Class A system and accessories.</t>
  </si>
  <si>
    <t xml:space="preserve">Rubi — 2026 tile installation cost guide</t>
  </si>
  <si>
    <t xml:space="preserve">https://www.rubi.com/us/blog/average-cost-to-install-tile-floors/</t>
  </si>
  <si>
    <t xml:space="preserve">Tile material / labor range check</t>
  </si>
  <si>
    <t xml:space="preserve">2026</t>
  </si>
  <si>
    <t xml:space="preserve">Broad national ranges only; workbook uses finish-specific estimator inputs and local crew rates.</t>
  </si>
  <si>
    <t xml:space="preserve">Seattle flooring installation cost calculator</t>
  </si>
  <si>
    <t xml:space="preserve">https://www.kolmo.io/calculator/flooring</t>
  </si>
  <si>
    <t xml:space="preserve">Seattle flooring installation range check</t>
  </si>
  <si>
    <t xml:space="preserve">Local consumer-cost reference; not a subcontractor quote and not a substitute for the specified assemblies.</t>
  </si>
  <si>
    <t xml:space="preserve">Project contract documents</t>
  </si>
  <si>
    <t xml:space="preserve">Addendum #1; Project Manual; Exhibit A; Exhibit B</t>
  </si>
  <si>
    <t xml:space="preserve">Quantities and scope</t>
  </si>
  <si>
    <t xml:space="preserve">September–October 2026</t>
  </si>
  <si>
    <t xml:space="preserve">Contract documents control scope. Bid-form prices were blank; this workbook supplies independent budget pricing.</t>
  </si>
  <si>
    <t xml:space="preserve">Coordination model and comprehensive takeoff</t>
  </si>
  <si>
    <t xml:space="preserve">Meydenbauer_Comprehensive_Project_Takeoff.xlsx</t>
  </si>
  <si>
    <t xml:space="preserve">Quantities and model measurement basis</t>
  </si>
  <si>
    <t xml:space="preserve">25 Oct 2026</t>
  </si>
  <si>
    <t xml:space="preserve">Model-derived quantities require field verification and are not fabrication quantities.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</si>
</sst>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.00%"/>
    <numFmt numFmtId="168" formatCode="\$#,##0.00"/>
    <numFmt numFmtId="169" formatCode="#,##0.000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5"/>
      <color rgb="FF2B1703"/>
      <name val="Aptos Display"/>
      <family val="0"/>
      <charset val="1"/>
    </font>
    <font>
      <sz val="11"/>
      <color rgb="FF66615A"/>
      <name val="Cambria"/>
      <family val="0"/>
      <charset val="1"/>
    </font>
    <font>
      <b val="true"/>
      <sz val="13"/>
      <color rgb="FF2B1703"/>
      <name val="Cambria"/>
      <family val="0"/>
      <charset val="1"/>
    </font>
    <font>
      <sz val="11"/>
      <color rgb="FF2B1703"/>
      <name val="Cambria"/>
      <family val="0"/>
      <charset val="1"/>
    </font>
    <font>
      <b val="true"/>
      <sz val="11"/>
      <color rgb="FF2B1703"/>
      <name val="Cambria"/>
      <family val="0"/>
      <charset val="1"/>
    </font>
    <font>
      <b val="true"/>
      <sz val="14"/>
      <color rgb="FF2B170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24"/>
      <color rgb="FF2B1703"/>
      <name val="Aptos Display"/>
      <family val="0"/>
      <charset val="1"/>
    </font>
    <font>
      <b val="true"/>
      <sz val="11"/>
      <color rgb="FF0000FF"/>
      <name val="Cambria"/>
      <family val="0"/>
      <charset val="1"/>
    </font>
    <font>
      <sz val="10"/>
      <color rgb="FF66615A"/>
      <name val="Cambria"/>
      <family val="0"/>
      <charset val="1"/>
    </font>
    <font>
      <b val="true"/>
      <sz val="22"/>
      <color rgb="FF2B1703"/>
      <name val="Aptos Display"/>
      <family val="0"/>
      <charset val="1"/>
    </font>
    <font>
      <sz val="10"/>
      <color rgb="FF66615A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9"/>
      <color rgb="FF2B1703"/>
      <name val="Aptos"/>
      <family val="0"/>
      <charset val="1"/>
    </font>
    <font>
      <sz val="9"/>
      <color rgb="FF0000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6F6F4"/>
        <bgColor rgb="FFFAFAF8"/>
      </patternFill>
    </fill>
    <fill>
      <patternFill patternType="solid">
        <fgColor rgb="FFFFF3C4"/>
        <bgColor rgb="FFF6F6F4"/>
      </patternFill>
    </fill>
    <fill>
      <patternFill patternType="solid">
        <fgColor rgb="FFFAFAF8"/>
        <bgColor rgb="FFF6F6F4"/>
      </patternFill>
    </fill>
    <fill>
      <patternFill patternType="solid">
        <fgColor rgb="FFDDF5F6"/>
        <bgColor rgb="FFE3EFE8"/>
      </patternFill>
    </fill>
    <fill>
      <patternFill patternType="solid">
        <fgColor rgb="FF2B1703"/>
        <bgColor rgb="FF333333"/>
      </patternFill>
    </fill>
    <fill>
      <patternFill patternType="solid">
        <fgColor rgb="FFDCEAF4"/>
        <bgColor rgb="FFE3EFE8"/>
      </patternFill>
    </fill>
    <fill>
      <patternFill patternType="solid">
        <fgColor rgb="FFE3EFE8"/>
        <bgColor rgb="FFDCEAF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7D1"/>
      </bottom>
      <diagonal/>
    </border>
    <border diagonalUp="false" diagonalDown="false">
      <left style="thick">
        <color rgb="FFF7C40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B1703"/>
        </patternFill>
      </fill>
    </dxf>
    <dxf>
      <fill>
        <patternFill patternType="solid">
          <fgColor rgb="FFFAFAF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CEAF4"/>
        </patternFill>
      </fill>
    </dxf>
    <dxf>
      <fill>
        <patternFill patternType="solid">
          <fgColor rgb="FFE3EFE8"/>
        </patternFill>
      </fill>
    </dxf>
    <dxf>
      <fill>
        <patternFill patternType="solid">
          <fgColor rgb="FF0000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DDF5F6"/>
      <rgbColor rgb="FF660066"/>
      <rgbColor rgb="FFFF8080"/>
      <rgbColor rgb="FF0066CC"/>
      <rgbColor rgb="FFD9D7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4"/>
      <rgbColor rgb="FFE3EFE8"/>
      <rgbColor rgb="FFF6F6F4"/>
      <rgbColor rgb="FF99CCFF"/>
      <rgbColor rgb="FFFF99CC"/>
      <rgbColor rgb="FFCC99FF"/>
      <rgbColor rgb="FFFAFAF8"/>
      <rgbColor rgb="FF3366FF"/>
      <rgbColor rgb="FF33CCCC"/>
      <rgbColor rgb="FF99CC00"/>
      <rgbColor rgb="FFF7C400"/>
      <rgbColor rgb="FFFF9900"/>
      <rgbColor rgb="FFFF6600"/>
      <rgbColor rgb="FF66615A"/>
      <rgbColor rgb="FF969696"/>
      <rgbColor rgb="FF003366"/>
      <rgbColor rgb="FF339966"/>
      <rgbColor rgb="FF003300"/>
      <rgbColor rgb="FF2B170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rewRateTable" displayName="CrewRateTable" ref="B5:I16" headerRowCount="1" totalsRowCount="0" totalsRowShown="0">
  <autoFilter ref="B5:I16"/>
  <tableColumns count="8">
    <tableColumn id="1" name="Crew code"/>
    <tableColumn id="2" name="Crew / composition"/>
    <tableColumn id="3" name="Base wage ($/hr)"/>
    <tableColumn id="4" name="Labor burden"/>
    <tableColumn id="5" name="Burdened Q4 rate ($/hr)"/>
    <tableColumn id="6" name="Q1 escalation"/>
    <tableColumn id="7" name="Q1 2027 crew rate ($/hr)"/>
    <tableColumn id="8" name="Basis"/>
  </tableColumns>
</table>
</file>

<file path=xl/tables/table2.xml><?xml version="1.0" encoding="utf-8"?>
<table xmlns="http://schemas.openxmlformats.org/spreadsheetml/2006/main" id="2" name="PricedTakeoffTable" displayName="PricedTakeoffTable" ref="B5:Z131" headerRowCount="1" totalsRowCount="0" totalsRowShown="0">
  <autoFilter ref="B5:Z131"/>
  <tableColumns count="25">
    <tableColumn id="1" name="Item"/>
    <tableColumn id="2" name="Work product"/>
    <tableColumn id="3" name="Division"/>
    <tableColumn id="4" name="Takeoff category"/>
    <tableColumn id="5" name="Unit"/>
    <tableColumn id="6" name="Scope description"/>
    <tableColumn id="7" name="Quantity"/>
    <tableColumn id="8" name="UoM"/>
    <tableColumn id="9" name="Pricing method"/>
    <tableColumn id="10" name="Base material / unit"/>
    <tableColumn id="11" name="Q1 material / unit"/>
    <tableColumn id="12" name="Labor hr / unit"/>
    <tableColumn id="13" name="Crew"/>
    <tableColumn id="14" name="Q1 crew $ / hr"/>
    <tableColumn id="15" name="Base equip / unit"/>
    <tableColumn id="16" name="Base other / unit"/>
    <tableColumn id="17" name="Material cost"/>
    <tableColumn id="18" name="Labor cost"/>
    <tableColumn id="19" name="Equipment cost"/>
    <tableColumn id="20" name="Other direct cost"/>
    <tableColumn id="21" name="Direct cost"/>
    <tableColumn id="22" name="Direct unit cost"/>
    <tableColumn id="23" name="Confidence"/>
    <tableColumn id="24" name="Pricing basis"/>
    <tableColumn id="25" name="Pricing note / assumption"/>
  </tableColumns>
</table>
</file>

<file path=xl/tables/table3.xml><?xml version="1.0" encoding="utf-8"?>
<table xmlns="http://schemas.openxmlformats.org/spreadsheetml/2006/main" id="3" name="PricingSourceTable" displayName="PricingSourceTable" ref="B5:F15" headerRowCount="1" totalsRowCount="0" totalsRowShown="0">
  <autoFilter ref="B5:F15"/>
  <tableColumns count="5">
    <tableColumn id="1" name="Source Name"/>
    <tableColumn id="2" name="Source URL"/>
    <tableColumn id="3" name="Used for"/>
    <tableColumn id="4" name="Date / period"/>
    <tableColumn id="5" name="Application and limitation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20"/>
    <col collapsed="false" customWidth="true" hidden="false" outlineLevel="0" max="9" min="6" style="0" width="18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7" customFormat="false" ht="15" hidden="false" customHeight="true" outlineLevel="0" collapsed="false">
      <c r="B7" s="4" t="s">
        <v>3</v>
      </c>
      <c r="C7" s="5" t="n">
        <f aca="false">SUMIFS('Priced Takeoff'!$V$6:$V$131,'Priced Takeoff'!$C$6:$C$131,"&lt;&gt;Alternate*")</f>
        <v>312876.073407565</v>
      </c>
      <c r="E7" s="6" t="s">
        <v>4</v>
      </c>
      <c r="F7" s="6"/>
      <c r="G7" s="6"/>
      <c r="H7" s="6"/>
      <c r="I7" s="6"/>
    </row>
    <row r="8" customFormat="false" ht="15" hidden="false" customHeight="false" outlineLevel="0" collapsed="false">
      <c r="B8" s="7" t="s">
        <v>5</v>
      </c>
      <c r="C8" s="8" t="n">
        <f aca="false">C7*Assumptions!$C$7</f>
        <v>46931.4110111347</v>
      </c>
      <c r="E8" s="6"/>
      <c r="F8" s="6"/>
      <c r="G8" s="6"/>
      <c r="H8" s="6"/>
      <c r="I8" s="6"/>
    </row>
    <row r="9" customFormat="false" ht="15" hidden="false" customHeight="false" outlineLevel="0" collapsed="false">
      <c r="B9" s="9" t="s">
        <v>6</v>
      </c>
      <c r="C9" s="10" t="n">
        <f aca="false">C7+C8</f>
        <v>359807.484418699</v>
      </c>
      <c r="E9" s="6"/>
      <c r="F9" s="6"/>
      <c r="G9" s="6"/>
      <c r="H9" s="6"/>
      <c r="I9" s="6"/>
    </row>
    <row r="10" customFormat="false" ht="15" hidden="false" customHeight="false" outlineLevel="0" collapsed="false">
      <c r="B10" s="7" t="s">
        <v>7</v>
      </c>
      <c r="C10" s="8" t="n">
        <f aca="false">C9*Assumptions!$C$8</f>
        <v>28784.5987534959</v>
      </c>
    </row>
    <row r="11" customFormat="false" ht="15" hidden="false" customHeight="true" outlineLevel="0" collapsed="false">
      <c r="B11" s="4" t="s">
        <v>8</v>
      </c>
      <c r="C11" s="5" t="n">
        <f aca="false">(C9+C10)*Assumptions!$C$9</f>
        <v>19429.6041586098</v>
      </c>
      <c r="E11" s="11" t="s">
        <v>9</v>
      </c>
      <c r="F11" s="11"/>
      <c r="G11" s="11"/>
      <c r="H11" s="11"/>
      <c r="I11" s="11"/>
    </row>
    <row r="12" customFormat="false" ht="15" hidden="false" customHeight="false" outlineLevel="0" collapsed="false">
      <c r="B12" s="7" t="s">
        <v>10</v>
      </c>
      <c r="C12" s="8" t="n">
        <f aca="false">(C9+C10+C11)*Assumptions!$C$10</f>
        <v>4080.21687330805</v>
      </c>
      <c r="E12" s="11"/>
      <c r="F12" s="11"/>
      <c r="G12" s="11"/>
      <c r="H12" s="11"/>
      <c r="I12" s="11"/>
    </row>
    <row r="13" customFormat="false" ht="15" hidden="false" customHeight="false" outlineLevel="0" collapsed="false">
      <c r="B13" s="9" t="s">
        <v>11</v>
      </c>
      <c r="C13" s="10" t="n">
        <f aca="false">SUM(C9:C12)</f>
        <v>412101.904204113</v>
      </c>
      <c r="E13" s="11"/>
      <c r="F13" s="11"/>
      <c r="G13" s="11"/>
      <c r="H13" s="11"/>
      <c r="I13" s="11"/>
    </row>
    <row r="14" customFormat="false" ht="15" hidden="false" customHeight="false" outlineLevel="0" collapsed="false">
      <c r="B14" s="7" t="s">
        <v>12</v>
      </c>
      <c r="C14" s="8" t="n">
        <f aca="false">C13*Assumptions!$C$11</f>
        <v>42034.3942288195</v>
      </c>
    </row>
    <row r="15" customFormat="false" ht="15" hidden="false" customHeight="true" outlineLevel="0" collapsed="false">
      <c r="B15" s="12" t="s">
        <v>13</v>
      </c>
      <c r="C15" s="13" t="n">
        <f aca="false">C13+C14</f>
        <v>454136.298432933</v>
      </c>
      <c r="E15" s="11" t="s">
        <v>14</v>
      </c>
      <c r="F15" s="11"/>
      <c r="G15" s="11"/>
      <c r="H15" s="11"/>
      <c r="I15" s="11"/>
    </row>
    <row r="16" customFormat="false" ht="15" hidden="false" customHeight="false" outlineLevel="0" collapsed="false">
      <c r="B16" s="7" t="s">
        <v>15</v>
      </c>
      <c r="C16" s="8" t="n">
        <f aca="false">C15*Assumptions!$C$12</f>
        <v>386015.853667993</v>
      </c>
      <c r="E16" s="11"/>
      <c r="F16" s="11"/>
      <c r="G16" s="11"/>
      <c r="H16" s="11"/>
      <c r="I16" s="11"/>
    </row>
    <row r="17" customFormat="false" ht="15" hidden="false" customHeight="false" outlineLevel="0" collapsed="false">
      <c r="B17" s="4" t="s">
        <v>16</v>
      </c>
      <c r="C17" s="5" t="n">
        <f aca="false">C15*Assumptions!$C$13</f>
        <v>567670.373041166</v>
      </c>
      <c r="E17" s="11"/>
      <c r="F17" s="11"/>
      <c r="G17" s="11"/>
      <c r="H17" s="11"/>
      <c r="I17" s="11"/>
    </row>
    <row r="20" customFormat="false" ht="15" hidden="false" customHeight="false" outlineLevel="0" collapsed="false">
      <c r="B20" s="3" t="s">
        <v>17</v>
      </c>
      <c r="C20" s="3"/>
      <c r="D20" s="3"/>
      <c r="E20" s="3"/>
      <c r="F20" s="3"/>
      <c r="G20" s="3"/>
      <c r="H20" s="3"/>
      <c r="I20" s="3"/>
    </row>
    <row r="22" customFormat="false" ht="15" hidden="false" customHeight="false" outlineLevel="0" collapsed="false">
      <c r="B22" s="14" t="s">
        <v>18</v>
      </c>
      <c r="C22" s="14" t="s">
        <v>19</v>
      </c>
      <c r="D22" s="14" t="s">
        <v>20</v>
      </c>
      <c r="E22" s="14" t="s">
        <v>21</v>
      </c>
      <c r="F22" s="14" t="s">
        <v>22</v>
      </c>
    </row>
    <row r="23" customFormat="false" ht="15" hidden="false" customHeight="false" outlineLevel="0" collapsed="false">
      <c r="B23" s="15" t="s">
        <v>23</v>
      </c>
      <c r="C23" s="16" t="n">
        <f aca="false">SUMIFS('Priced Takeoff'!$V$6:$V$131,'Priced Takeoff'!$C$6:$C$131,"Alternate 1")</f>
        <v>13820.09364</v>
      </c>
      <c r="D23" s="16" t="n">
        <f aca="false">C23*(1+Assumptions!$C$7)*(1+Assumptions!$C$8)*(1+Assumptions!$C$9)*(1+Assumptions!$C$10)</f>
        <v>18203.0119570832</v>
      </c>
      <c r="E23" s="16" t="n">
        <f aca="false">D23*Assumptions!$C$11</f>
        <v>1856.70721962249</v>
      </c>
      <c r="F23" s="16" t="n">
        <f aca="false">D23+E23</f>
        <v>20059.7191767057</v>
      </c>
    </row>
    <row r="24" customFormat="false" ht="15" hidden="false" customHeight="false" outlineLevel="0" collapsed="false">
      <c r="B24" s="15" t="s">
        <v>24</v>
      </c>
      <c r="C24" s="16" t="n">
        <f aca="false">SUMIFS('Priced Takeoff'!$V$6:$V$131,'Priced Takeoff'!$C$6:$C$131,"Alternate 2")</f>
        <v>8490.23208</v>
      </c>
      <c r="D24" s="16" t="n">
        <f aca="false">C24*(1+Assumptions!$C$7)*(1+Assumptions!$C$8)*(1+Assumptions!$C$9)*(1+Assumptions!$C$10)</f>
        <v>11182.8327720833</v>
      </c>
      <c r="E24" s="16" t="n">
        <f aca="false">D24*Assumptions!$C$11</f>
        <v>1140.64894275249</v>
      </c>
      <c r="F24" s="16" t="n">
        <f aca="false">D24+E24</f>
        <v>12323.4817148358</v>
      </c>
    </row>
    <row r="25" customFormat="false" ht="15" hidden="false" customHeight="false" outlineLevel="0" collapsed="false">
      <c r="B25" s="17" t="s">
        <v>25</v>
      </c>
      <c r="F25" s="18" t="n">
        <f aca="false">C15+F23+F24</f>
        <v>486519.499324474</v>
      </c>
    </row>
    <row r="28" customFormat="false" ht="15" hidden="false" customHeight="false" outlineLevel="0" collapsed="false">
      <c r="B28" s="3" t="s">
        <v>26</v>
      </c>
      <c r="C28" s="3"/>
      <c r="D28" s="3"/>
      <c r="E28" s="3"/>
      <c r="F28" s="3"/>
      <c r="G28" s="3"/>
      <c r="H28" s="3"/>
      <c r="I28" s="3"/>
    </row>
    <row r="30" customFormat="false" ht="15" hidden="false" customHeight="false" outlineLevel="0" collapsed="false">
      <c r="B30" s="14" t="s">
        <v>27</v>
      </c>
      <c r="C30" s="14" t="s">
        <v>19</v>
      </c>
      <c r="D30" s="14" t="s">
        <v>28</v>
      </c>
      <c r="F30" s="19" t="s">
        <v>29</v>
      </c>
      <c r="G30" s="19"/>
      <c r="H30" s="19"/>
      <c r="I30" s="19"/>
    </row>
    <row r="31" customFormat="false" ht="15" hidden="false" customHeight="false" outlineLevel="0" collapsed="false">
      <c r="B31" s="15" t="s">
        <v>30</v>
      </c>
      <c r="C31" s="16" t="n">
        <f aca="false">SUMIFS('Priced Takeoff'!$V$6:$V$131,'Priced Takeoff'!$C$6:$C$131,B31)</f>
        <v>160985.566362565</v>
      </c>
      <c r="D31" s="20" t="n">
        <f aca="false">C31/$C$7</f>
        <v>0.514534603458982</v>
      </c>
      <c r="F31" s="15" t="s">
        <v>31</v>
      </c>
      <c r="G31" s="16" t="n">
        <f aca="false">SUMIFS('Priced Takeoff'!$V$6:$V$131,'Priced Takeoff'!$F$6:$F$131,F31,'Priced Takeoff'!$C$6:$C$131,"&lt;&gt;Alternate*")</f>
        <v>20490.7925737369</v>
      </c>
      <c r="H31" s="16"/>
      <c r="I31" s="16"/>
    </row>
    <row r="32" customFormat="false" ht="15" hidden="false" customHeight="false" outlineLevel="0" collapsed="false">
      <c r="B32" s="15" t="s">
        <v>32</v>
      </c>
      <c r="C32" s="16" t="n">
        <f aca="false">SUMIFS('Priced Takeoff'!$V$6:$V$131,'Priced Takeoff'!$C$6:$C$131,B32)</f>
        <v>1216.37052</v>
      </c>
      <c r="D32" s="20" t="n">
        <f aca="false">C32/$C$7</f>
        <v>0.00388770706162471</v>
      </c>
      <c r="F32" s="15" t="s">
        <v>33</v>
      </c>
      <c r="G32" s="16" t="n">
        <f aca="false">SUMIFS('Priced Takeoff'!$V$6:$V$131,'Priced Takeoff'!$F$6:$F$131,F32,'Priced Takeoff'!$C$6:$C$131,"&lt;&gt;Alternate*")</f>
        <v>29661.857294489</v>
      </c>
      <c r="H32" s="16"/>
      <c r="I32" s="16"/>
    </row>
    <row r="33" customFormat="false" ht="15" hidden="false" customHeight="false" outlineLevel="0" collapsed="false">
      <c r="B33" s="15" t="s">
        <v>34</v>
      </c>
      <c r="C33" s="16" t="n">
        <f aca="false">SUMIFS('Priced Takeoff'!$V$6:$V$131,'Priced Takeoff'!$C$6:$C$131,B33)</f>
        <v>4481.325</v>
      </c>
      <c r="D33" s="20" t="n">
        <f aca="false">C33/$C$7</f>
        <v>0.0143230031980184</v>
      </c>
      <c r="F33" s="15" t="s">
        <v>35</v>
      </c>
      <c r="G33" s="16" t="n">
        <f aca="false">SUMIFS('Priced Takeoff'!$V$6:$V$131,'Priced Takeoff'!$F$6:$F$131,F33,'Priced Takeoff'!$C$6:$C$131,"&lt;&gt;Alternate*")</f>
        <v>36635.9779064423</v>
      </c>
      <c r="H33" s="16"/>
      <c r="I33" s="16"/>
    </row>
    <row r="34" customFormat="false" ht="15" hidden="false" customHeight="false" outlineLevel="0" collapsed="false">
      <c r="B34" s="15" t="s">
        <v>36</v>
      </c>
      <c r="C34" s="16" t="n">
        <f aca="false">SUMIFS('Priced Takeoff'!$V$6:$V$131,'Priced Takeoff'!$C$6:$C$131,B34)</f>
        <v>146192.811525</v>
      </c>
      <c r="D34" s="20" t="n">
        <f aca="false">C34/$C$7</f>
        <v>0.467254686281375</v>
      </c>
      <c r="F34" s="15" t="s">
        <v>37</v>
      </c>
      <c r="G34" s="16" t="n">
        <f aca="false">SUMIFS('Priced Takeoff'!$V$6:$V$131,'Priced Takeoff'!$F$6:$F$131,F34,'Priced Takeoff'!$C$6:$C$131,"&lt;&gt;Alternate*")</f>
        <v>64700.1409728964</v>
      </c>
      <c r="H34" s="16"/>
      <c r="I34" s="16"/>
    </row>
    <row r="38" customFormat="false" ht="15" hidden="false" customHeight="true" outlineLevel="0" collapsed="false">
      <c r="B38" s="6" t="s">
        <v>38</v>
      </c>
      <c r="C38" s="6"/>
      <c r="D38" s="6"/>
      <c r="E38" s="6"/>
      <c r="F38" s="6"/>
      <c r="G38" s="6"/>
      <c r="H38" s="6"/>
      <c r="I38" s="6"/>
    </row>
    <row r="39" customFormat="false" ht="15" hidden="false" customHeight="false" outlineLevel="0" collapsed="false">
      <c r="B39" s="6"/>
      <c r="C39" s="6"/>
      <c r="D39" s="6"/>
      <c r="E39" s="6"/>
      <c r="F39" s="6"/>
      <c r="G39" s="6"/>
      <c r="H39" s="6"/>
      <c r="I39" s="6"/>
    </row>
    <row r="40" customFormat="false" ht="15" hidden="false" customHeight="false" outlineLevel="0" collapsed="false">
      <c r="B40" s="6"/>
      <c r="C40" s="6"/>
      <c r="D40" s="6"/>
      <c r="E40" s="6"/>
      <c r="F40" s="6"/>
      <c r="G40" s="6"/>
      <c r="H40" s="6"/>
      <c r="I40" s="6"/>
    </row>
  </sheetData>
  <mergeCells count="14">
    <mergeCell ref="B2:I2"/>
    <mergeCell ref="B3:I3"/>
    <mergeCell ref="B5:I5"/>
    <mergeCell ref="E7:I9"/>
    <mergeCell ref="E11:I13"/>
    <mergeCell ref="E15:I17"/>
    <mergeCell ref="B20:I20"/>
    <mergeCell ref="B28:I28"/>
    <mergeCell ref="F30:I30"/>
    <mergeCell ref="G31:I31"/>
    <mergeCell ref="G32:I32"/>
    <mergeCell ref="G33:I33"/>
    <mergeCell ref="G34:I34"/>
    <mergeCell ref="B38:I40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Bellevue · Non-union · Q1 2027 · ROM Budget&amp;R&amp;8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90"/>
  </cols>
  <sheetData>
    <row r="2" customFormat="false" ht="15" hidden="false" customHeight="false" outlineLevel="0" collapsed="false">
      <c r="B2" s="21" t="s">
        <v>39</v>
      </c>
      <c r="C2" s="21"/>
      <c r="D2" s="21"/>
      <c r="E2" s="21"/>
    </row>
    <row r="3" customFormat="false" ht="15" hidden="false" customHeight="false" outlineLevel="0" collapsed="false">
      <c r="B3" s="2" t="s">
        <v>40</v>
      </c>
      <c r="C3" s="2"/>
      <c r="D3" s="2"/>
      <c r="E3" s="2"/>
    </row>
    <row r="5" customFormat="false" ht="15" hidden="false" customHeight="false" outlineLevel="0" collapsed="false">
      <c r="B5" s="14" t="s">
        <v>41</v>
      </c>
      <c r="C5" s="14" t="s">
        <v>42</v>
      </c>
      <c r="D5" s="14" t="s">
        <v>43</v>
      </c>
      <c r="E5" s="14" t="s">
        <v>44</v>
      </c>
    </row>
    <row r="6" customFormat="false" ht="34.5" hidden="false" customHeight="true" outlineLevel="0" collapsed="false">
      <c r="B6" s="22" t="s">
        <v>45</v>
      </c>
      <c r="C6" s="23" t="n">
        <v>0.0125</v>
      </c>
      <c r="D6" s="22" t="s">
        <v>46</v>
      </c>
      <c r="E6" s="22" t="s">
        <v>47</v>
      </c>
    </row>
    <row r="7" customFormat="false" ht="34.5" hidden="false" customHeight="true" outlineLevel="0" collapsed="false">
      <c r="B7" s="22" t="s">
        <v>5</v>
      </c>
      <c r="C7" s="23" t="n">
        <v>0.15</v>
      </c>
      <c r="D7" s="22" t="s">
        <v>46</v>
      </c>
      <c r="E7" s="22" t="s">
        <v>48</v>
      </c>
    </row>
    <row r="8" customFormat="false" ht="34.5" hidden="false" customHeight="true" outlineLevel="0" collapsed="false">
      <c r="B8" s="22" t="s">
        <v>7</v>
      </c>
      <c r="C8" s="23" t="n">
        <v>0.08</v>
      </c>
      <c r="D8" s="22" t="s">
        <v>46</v>
      </c>
      <c r="E8" s="22" t="s">
        <v>49</v>
      </c>
    </row>
    <row r="9" customFormat="false" ht="34.5" hidden="false" customHeight="true" outlineLevel="0" collapsed="false">
      <c r="B9" s="22" t="s">
        <v>8</v>
      </c>
      <c r="C9" s="23" t="n">
        <v>0.05</v>
      </c>
      <c r="D9" s="22" t="s">
        <v>46</v>
      </c>
      <c r="E9" s="22" t="s">
        <v>50</v>
      </c>
    </row>
    <row r="10" customFormat="false" ht="34.5" hidden="false" customHeight="true" outlineLevel="0" collapsed="false">
      <c r="B10" s="22" t="s">
        <v>10</v>
      </c>
      <c r="C10" s="23" t="n">
        <v>0.01</v>
      </c>
      <c r="D10" s="22" t="s">
        <v>46</v>
      </c>
      <c r="E10" s="22" t="s">
        <v>51</v>
      </c>
    </row>
    <row r="11" customFormat="false" ht="34.5" hidden="false" customHeight="true" outlineLevel="0" collapsed="false">
      <c r="B11" s="22" t="s">
        <v>12</v>
      </c>
      <c r="C11" s="23" t="n">
        <v>0.102</v>
      </c>
      <c r="D11" s="22" t="s">
        <v>46</v>
      </c>
      <c r="E11" s="22" t="s">
        <v>52</v>
      </c>
    </row>
    <row r="12" customFormat="false" ht="34.5" hidden="false" customHeight="true" outlineLevel="0" collapsed="false">
      <c r="B12" s="22" t="s">
        <v>53</v>
      </c>
      <c r="C12" s="23" t="n">
        <v>0.85</v>
      </c>
      <c r="D12" s="22" t="s">
        <v>54</v>
      </c>
      <c r="E12" s="22" t="s">
        <v>55</v>
      </c>
    </row>
    <row r="13" customFormat="false" ht="34.5" hidden="false" customHeight="true" outlineLevel="0" collapsed="false">
      <c r="B13" s="22" t="s">
        <v>56</v>
      </c>
      <c r="C13" s="23" t="n">
        <v>1.25</v>
      </c>
      <c r="D13" s="22" t="s">
        <v>54</v>
      </c>
      <c r="E13" s="22" t="s">
        <v>57</v>
      </c>
    </row>
    <row r="14" customFormat="false" ht="34.5" hidden="false" customHeight="true" outlineLevel="0" collapsed="false">
      <c r="B14" s="22" t="s">
        <v>58</v>
      </c>
      <c r="C14" s="24" t="s">
        <v>59</v>
      </c>
      <c r="D14" s="22" t="s">
        <v>60</v>
      </c>
      <c r="E14" s="22" t="s">
        <v>61</v>
      </c>
    </row>
    <row r="15" customFormat="false" ht="34.5" hidden="false" customHeight="true" outlineLevel="0" collapsed="false">
      <c r="B15" s="22" t="s">
        <v>62</v>
      </c>
      <c r="C15" s="24" t="s">
        <v>63</v>
      </c>
      <c r="D15" s="22" t="s">
        <v>60</v>
      </c>
      <c r="E15" s="22" t="s">
        <v>64</v>
      </c>
    </row>
    <row r="16" customFormat="false" ht="34.5" hidden="false" customHeight="true" outlineLevel="0" collapsed="false">
      <c r="B16" s="22" t="s">
        <v>65</v>
      </c>
      <c r="C16" s="24" t="s">
        <v>66</v>
      </c>
      <c r="D16" s="22" t="s">
        <v>67</v>
      </c>
      <c r="E16" s="22" t="s">
        <v>68</v>
      </c>
    </row>
    <row r="17" customFormat="false" ht="34.5" hidden="false" customHeight="true" outlineLevel="0" collapsed="false">
      <c r="B17" s="22" t="s">
        <v>69</v>
      </c>
      <c r="C17" s="24" t="s">
        <v>70</v>
      </c>
      <c r="D17" s="22" t="s">
        <v>67</v>
      </c>
      <c r="E17" s="22" t="s">
        <v>71</v>
      </c>
    </row>
    <row r="18" customFormat="false" ht="34.5" hidden="false" customHeight="true" outlineLevel="0" collapsed="false">
      <c r="B18" s="22" t="s">
        <v>72</v>
      </c>
      <c r="C18" s="24" t="s">
        <v>73</v>
      </c>
      <c r="D18" s="22" t="s">
        <v>67</v>
      </c>
      <c r="E18" s="22" t="s">
        <v>74</v>
      </c>
    </row>
    <row r="22" customFormat="false" ht="15" hidden="false" customHeight="false" outlineLevel="0" collapsed="false">
      <c r="B22" s="25" t="s">
        <v>75</v>
      </c>
    </row>
    <row r="24" customFormat="false" ht="34.5" hidden="false" customHeight="true" outlineLevel="0" collapsed="false">
      <c r="B24" s="26" t="s">
        <v>76</v>
      </c>
      <c r="C24" s="26"/>
      <c r="D24" s="26"/>
      <c r="E24" s="26"/>
    </row>
    <row r="25" customFormat="false" ht="34.5" hidden="false" customHeight="true" outlineLevel="0" collapsed="false">
      <c r="B25" s="26" t="s">
        <v>77</v>
      </c>
      <c r="C25" s="26"/>
      <c r="D25" s="26"/>
      <c r="E25" s="26"/>
    </row>
    <row r="26" customFormat="false" ht="34.5" hidden="false" customHeight="true" outlineLevel="0" collapsed="false">
      <c r="B26" s="26" t="s">
        <v>78</v>
      </c>
      <c r="C26" s="26"/>
      <c r="D26" s="26"/>
      <c r="E26" s="26"/>
    </row>
    <row r="27" customFormat="false" ht="34.5" hidden="false" customHeight="true" outlineLevel="0" collapsed="false">
      <c r="B27" s="26" t="s">
        <v>79</v>
      </c>
      <c r="C27" s="26"/>
      <c r="D27" s="26"/>
      <c r="E27" s="26"/>
    </row>
    <row r="28" customFormat="false" ht="34.5" hidden="false" customHeight="true" outlineLevel="0" collapsed="false">
      <c r="B28" s="26" t="s">
        <v>80</v>
      </c>
      <c r="C28" s="26"/>
      <c r="D28" s="26"/>
      <c r="E28" s="26"/>
    </row>
    <row r="29" customFormat="false" ht="34.5" hidden="false" customHeight="true" outlineLevel="0" collapsed="false">
      <c r="B29" s="26" t="s">
        <v>81</v>
      </c>
      <c r="C29" s="26"/>
      <c r="D29" s="26"/>
      <c r="E29" s="26"/>
    </row>
  </sheetData>
  <mergeCells count="8">
    <mergeCell ref="B2:E2"/>
    <mergeCell ref="B3:E3"/>
    <mergeCell ref="B24:E24"/>
    <mergeCell ref="B25:E25"/>
    <mergeCell ref="B26:E26"/>
    <mergeCell ref="B27:E27"/>
    <mergeCell ref="B28:E28"/>
    <mergeCell ref="B29:E29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Bellevue · Non-union · Q1 2027 · ROM Budget&amp;R&amp;8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21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55"/>
  </cols>
  <sheetData>
    <row r="2" customFormat="false" ht="33.75" hidden="false" customHeight="true" outlineLevel="0" collapsed="false">
      <c r="B2" s="27" t="s">
        <v>82</v>
      </c>
      <c r="C2" s="27"/>
      <c r="D2" s="27"/>
      <c r="E2" s="27"/>
      <c r="F2" s="27"/>
      <c r="G2" s="27"/>
      <c r="H2" s="27"/>
      <c r="I2" s="27"/>
    </row>
    <row r="3" customFormat="false" ht="31.5" hidden="false" customHeight="true" outlineLevel="0" collapsed="false">
      <c r="B3" s="28" t="s">
        <v>83</v>
      </c>
      <c r="C3" s="28"/>
      <c r="D3" s="28"/>
      <c r="E3" s="28"/>
      <c r="F3" s="28"/>
      <c r="G3" s="28"/>
      <c r="H3" s="28"/>
      <c r="I3" s="28"/>
    </row>
    <row r="5" customFormat="false" ht="37.5" hidden="false" customHeight="true" outlineLevel="0" collapsed="false">
      <c r="B5" s="29" t="s">
        <v>84</v>
      </c>
      <c r="C5" s="29" t="s">
        <v>85</v>
      </c>
      <c r="D5" s="29" t="s">
        <v>86</v>
      </c>
      <c r="E5" s="29" t="s">
        <v>87</v>
      </c>
      <c r="F5" s="29" t="s">
        <v>88</v>
      </c>
      <c r="G5" s="29" t="s">
        <v>89</v>
      </c>
      <c r="H5" s="29" t="s">
        <v>90</v>
      </c>
      <c r="I5" s="29" t="s">
        <v>91</v>
      </c>
    </row>
    <row r="6" customFormat="false" ht="37.5" hidden="false" customHeight="true" outlineLevel="0" collapsed="false">
      <c r="B6" s="30" t="s">
        <v>92</v>
      </c>
      <c r="C6" s="30" t="s">
        <v>93</v>
      </c>
      <c r="D6" s="31" t="n">
        <v>32.67</v>
      </c>
      <c r="E6" s="32" t="n">
        <v>0.38</v>
      </c>
      <c r="F6" s="31" t="n">
        <f aca="false">D6*(1+E6)</f>
        <v>45.0846</v>
      </c>
      <c r="G6" s="33" t="n">
        <f aca="false">Assumptions!$C$6</f>
        <v>0.0125</v>
      </c>
      <c r="H6" s="31" t="n">
        <f aca="false">F6*(1+G6)</f>
        <v>45.6481575</v>
      </c>
      <c r="I6" s="30" t="s">
        <v>94</v>
      </c>
    </row>
    <row r="7" customFormat="false" ht="37.5" hidden="false" customHeight="true" outlineLevel="0" collapsed="false">
      <c r="B7" s="34" t="s">
        <v>95</v>
      </c>
      <c r="C7" s="34" t="s">
        <v>96</v>
      </c>
      <c r="D7" s="35" t="n">
        <v>38</v>
      </c>
      <c r="E7" s="36" t="n">
        <v>0.35</v>
      </c>
      <c r="F7" s="37" t="n">
        <f aca="false">D7*(1+E7)</f>
        <v>51.3</v>
      </c>
      <c r="G7" s="38" t="n">
        <f aca="false">Assumptions!$C$6</f>
        <v>0.0125</v>
      </c>
      <c r="H7" s="37" t="n">
        <f aca="false">F7*(1+G7)</f>
        <v>51.94125</v>
      </c>
      <c r="I7" s="34" t="s">
        <v>97</v>
      </c>
    </row>
    <row r="8" customFormat="false" ht="37.5" hidden="false" customHeight="true" outlineLevel="0" collapsed="false">
      <c r="B8" s="30" t="s">
        <v>98</v>
      </c>
      <c r="C8" s="30" t="s">
        <v>99</v>
      </c>
      <c r="D8" s="31" t="n">
        <v>29</v>
      </c>
      <c r="E8" s="32" t="n">
        <v>0.35</v>
      </c>
      <c r="F8" s="31" t="n">
        <f aca="false">D8*(1+E8)</f>
        <v>39.15</v>
      </c>
      <c r="G8" s="33" t="n">
        <f aca="false">Assumptions!$C$6</f>
        <v>0.0125</v>
      </c>
      <c r="H8" s="31" t="n">
        <f aca="false">F8*(1+G8)</f>
        <v>39.639375</v>
      </c>
      <c r="I8" s="30" t="s">
        <v>100</v>
      </c>
    </row>
    <row r="9" customFormat="false" ht="37.5" hidden="false" customHeight="true" outlineLevel="0" collapsed="false">
      <c r="B9" s="34" t="s">
        <v>101</v>
      </c>
      <c r="C9" s="34" t="s">
        <v>102</v>
      </c>
      <c r="D9" s="35" t="n">
        <v>30.5</v>
      </c>
      <c r="E9" s="36" t="n">
        <v>0.35</v>
      </c>
      <c r="F9" s="37" t="n">
        <f aca="false">D9*(1+E9)</f>
        <v>41.175</v>
      </c>
      <c r="G9" s="38" t="n">
        <f aca="false">Assumptions!$C$6</f>
        <v>0.0125</v>
      </c>
      <c r="H9" s="37" t="n">
        <f aca="false">F9*(1+G9)</f>
        <v>41.6896875</v>
      </c>
      <c r="I9" s="34" t="s">
        <v>103</v>
      </c>
    </row>
    <row r="10" customFormat="false" ht="37.5" hidden="false" customHeight="true" outlineLevel="0" collapsed="false">
      <c r="B10" s="30" t="s">
        <v>104</v>
      </c>
      <c r="C10" s="30" t="s">
        <v>105</v>
      </c>
      <c r="D10" s="31" t="n">
        <v>36</v>
      </c>
      <c r="E10" s="32" t="n">
        <v>0.35</v>
      </c>
      <c r="F10" s="31" t="n">
        <f aca="false">D10*(1+E10)</f>
        <v>48.6</v>
      </c>
      <c r="G10" s="33" t="n">
        <f aca="false">Assumptions!$C$6</f>
        <v>0.0125</v>
      </c>
      <c r="H10" s="31" t="n">
        <f aca="false">F10*(1+G10)</f>
        <v>49.2075</v>
      </c>
      <c r="I10" s="30" t="s">
        <v>106</v>
      </c>
    </row>
    <row r="11" customFormat="false" ht="37.5" hidden="false" customHeight="true" outlineLevel="0" collapsed="false">
      <c r="B11" s="34" t="s">
        <v>107</v>
      </c>
      <c r="C11" s="34" t="s">
        <v>108</v>
      </c>
      <c r="D11" s="35" t="n">
        <v>32</v>
      </c>
      <c r="E11" s="36" t="n">
        <v>0.35</v>
      </c>
      <c r="F11" s="37" t="n">
        <f aca="false">D11*(1+E11)</f>
        <v>43.2</v>
      </c>
      <c r="G11" s="38" t="n">
        <f aca="false">Assumptions!$C$6</f>
        <v>0.0125</v>
      </c>
      <c r="H11" s="37" t="n">
        <f aca="false">F11*(1+G11)</f>
        <v>43.74</v>
      </c>
      <c r="I11" s="34" t="s">
        <v>106</v>
      </c>
    </row>
    <row r="12" customFormat="false" ht="37.5" hidden="false" customHeight="true" outlineLevel="0" collapsed="false">
      <c r="B12" s="30" t="s">
        <v>109</v>
      </c>
      <c r="C12" s="30" t="s">
        <v>110</v>
      </c>
      <c r="D12" s="31" t="n">
        <v>32</v>
      </c>
      <c r="E12" s="32" t="n">
        <v>0.35</v>
      </c>
      <c r="F12" s="31" t="n">
        <f aca="false">D12*(1+E12)</f>
        <v>43.2</v>
      </c>
      <c r="G12" s="33" t="n">
        <f aca="false">Assumptions!$C$6</f>
        <v>0.0125</v>
      </c>
      <c r="H12" s="31" t="n">
        <f aca="false">F12*(1+G12)</f>
        <v>43.74</v>
      </c>
      <c r="I12" s="30" t="s">
        <v>106</v>
      </c>
    </row>
    <row r="13" customFormat="false" ht="37.5" hidden="false" customHeight="true" outlineLevel="0" collapsed="false">
      <c r="B13" s="34" t="s">
        <v>111</v>
      </c>
      <c r="C13" s="34" t="s">
        <v>112</v>
      </c>
      <c r="D13" s="35" t="n">
        <v>46</v>
      </c>
      <c r="E13" s="36" t="n">
        <v>0.38</v>
      </c>
      <c r="F13" s="37" t="n">
        <f aca="false">D13*(1+E13)</f>
        <v>63.48</v>
      </c>
      <c r="G13" s="38" t="n">
        <f aca="false">Assumptions!$C$6</f>
        <v>0.0125</v>
      </c>
      <c r="H13" s="37" t="n">
        <f aca="false">F13*(1+G13)</f>
        <v>64.2735</v>
      </c>
      <c r="I13" s="34" t="s">
        <v>113</v>
      </c>
    </row>
    <row r="14" customFormat="false" ht="37.5" hidden="false" customHeight="true" outlineLevel="0" collapsed="false">
      <c r="B14" s="30" t="s">
        <v>114</v>
      </c>
      <c r="C14" s="30" t="s">
        <v>115</v>
      </c>
      <c r="D14" s="31" t="n">
        <v>31.5</v>
      </c>
      <c r="E14" s="32" t="n">
        <v>0.38</v>
      </c>
      <c r="F14" s="31" t="n">
        <f aca="false">D14*(1+E14)</f>
        <v>43.47</v>
      </c>
      <c r="G14" s="33" t="n">
        <f aca="false">Assumptions!$C$6</f>
        <v>0.0125</v>
      </c>
      <c r="H14" s="31" t="n">
        <f aca="false">F14*(1+G14)</f>
        <v>44.013375</v>
      </c>
      <c r="I14" s="30" t="s">
        <v>116</v>
      </c>
    </row>
    <row r="15" customFormat="false" ht="37.5" hidden="false" customHeight="true" outlineLevel="0" collapsed="false">
      <c r="B15" s="34" t="s">
        <v>117</v>
      </c>
      <c r="C15" s="34" t="s">
        <v>118</v>
      </c>
      <c r="D15" s="35" t="n">
        <v>45</v>
      </c>
      <c r="E15" s="36" t="n">
        <v>0.3</v>
      </c>
      <c r="F15" s="37" t="n">
        <f aca="false">D15*(1+E15)</f>
        <v>58.5</v>
      </c>
      <c r="G15" s="38" t="n">
        <f aca="false">Assumptions!$C$6</f>
        <v>0.0125</v>
      </c>
      <c r="H15" s="37" t="n">
        <f aca="false">F15*(1+G15)</f>
        <v>59.23125</v>
      </c>
      <c r="I15" s="34" t="s">
        <v>119</v>
      </c>
    </row>
    <row r="16" customFormat="false" ht="37.5" hidden="false" customHeight="true" outlineLevel="0" collapsed="false">
      <c r="B16" s="30" t="s">
        <v>120</v>
      </c>
      <c r="C16" s="30" t="s">
        <v>121</v>
      </c>
      <c r="D16" s="31" t="n">
        <v>50</v>
      </c>
      <c r="E16" s="32" t="n">
        <v>0.38</v>
      </c>
      <c r="F16" s="31" t="n">
        <f aca="false">D16*(1+E16)</f>
        <v>69</v>
      </c>
      <c r="G16" s="33" t="n">
        <f aca="false">Assumptions!$C$6</f>
        <v>0.0125</v>
      </c>
      <c r="H16" s="31" t="n">
        <f aca="false">F16*(1+G16)</f>
        <v>69.8625</v>
      </c>
      <c r="I16" s="30" t="s">
        <v>122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Bellevue · Non-union · Q1 2027 · ROM Budget&amp;R&amp;8 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Z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55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24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5"/>
    <col collapsed="false" customWidth="true" hidden="false" outlineLevel="0" max="21" min="17" style="0" width="16"/>
    <col collapsed="false" customWidth="true" hidden="false" outlineLevel="0" max="22" min="22" style="0" width="17"/>
    <col collapsed="false" customWidth="true" hidden="false" outlineLevel="0" max="23" min="23" style="0" width="16"/>
    <col collapsed="false" customWidth="true" hidden="false" outlineLevel="0" max="24" min="24" style="0" width="13"/>
    <col collapsed="false" customWidth="true" hidden="false" outlineLevel="0" max="25" min="25" style="0" width="26"/>
    <col collapsed="false" customWidth="true" hidden="false" outlineLevel="0" max="26" min="26" style="0" width="55"/>
  </cols>
  <sheetData>
    <row r="2" customFormat="false" ht="33.75" hidden="false" customHeight="true" outlineLevel="0" collapsed="false">
      <c r="B2" s="27" t="s">
        <v>123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customFormat="false" ht="31.5" hidden="false" customHeight="true" outlineLevel="0" collapsed="false">
      <c r="B3" s="28" t="s">
        <v>124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5" customFormat="false" ht="37.5" hidden="false" customHeight="true" outlineLevel="0" collapsed="false">
      <c r="B5" s="29" t="s">
        <v>125</v>
      </c>
      <c r="C5" s="29" t="s">
        <v>27</v>
      </c>
      <c r="D5" s="29" t="s">
        <v>126</v>
      </c>
      <c r="E5" s="29" t="s">
        <v>127</v>
      </c>
      <c r="F5" s="29" t="s">
        <v>43</v>
      </c>
      <c r="G5" s="29" t="s">
        <v>128</v>
      </c>
      <c r="H5" s="29" t="s">
        <v>129</v>
      </c>
      <c r="I5" s="29" t="s">
        <v>130</v>
      </c>
      <c r="J5" s="29" t="s">
        <v>131</v>
      </c>
      <c r="K5" s="29" t="s">
        <v>132</v>
      </c>
      <c r="L5" s="29" t="s">
        <v>133</v>
      </c>
      <c r="M5" s="29" t="s">
        <v>134</v>
      </c>
      <c r="N5" s="29" t="s">
        <v>135</v>
      </c>
      <c r="O5" s="29" t="s">
        <v>136</v>
      </c>
      <c r="P5" s="29" t="s">
        <v>137</v>
      </c>
      <c r="Q5" s="29" t="s">
        <v>138</v>
      </c>
      <c r="R5" s="29" t="s">
        <v>139</v>
      </c>
      <c r="S5" s="29" t="s">
        <v>140</v>
      </c>
      <c r="T5" s="29" t="s">
        <v>141</v>
      </c>
      <c r="U5" s="29" t="s">
        <v>142</v>
      </c>
      <c r="V5" s="29" t="s">
        <v>19</v>
      </c>
      <c r="W5" s="29" t="s">
        <v>143</v>
      </c>
      <c r="X5" s="29" t="s">
        <v>144</v>
      </c>
      <c r="Y5" s="29" t="s">
        <v>145</v>
      </c>
      <c r="Z5" s="29" t="s">
        <v>146</v>
      </c>
    </row>
    <row r="6" customFormat="false" ht="37.5" hidden="false" customHeight="true" outlineLevel="0" collapsed="false">
      <c r="B6" s="30" t="s">
        <v>147</v>
      </c>
      <c r="C6" s="30" t="s">
        <v>30</v>
      </c>
      <c r="D6" s="30" t="s">
        <v>148</v>
      </c>
      <c r="E6" s="30" t="s">
        <v>149</v>
      </c>
      <c r="F6" s="30" t="s">
        <v>31</v>
      </c>
      <c r="G6" s="30" t="s">
        <v>150</v>
      </c>
      <c r="H6" s="39" t="n">
        <v>15.382349</v>
      </c>
      <c r="I6" s="30" t="s">
        <v>151</v>
      </c>
      <c r="J6" s="30" t="s">
        <v>152</v>
      </c>
      <c r="K6" s="40" t="n">
        <v>5.2</v>
      </c>
      <c r="L6" s="31" t="n">
        <f aca="false">K6*(1+Assumptions!$C$6)</f>
        <v>5.265</v>
      </c>
      <c r="M6" s="40" t="n">
        <v>0.16</v>
      </c>
      <c r="N6" s="31" t="s">
        <v>92</v>
      </c>
      <c r="O6" s="31" t="n">
        <f aca="false">IFERROR(VLOOKUP(N6,'Rate Buildups'!$B$6:$H$16,7,FALSE()),0)</f>
        <v>45.6481575</v>
      </c>
      <c r="P6" s="40" t="n">
        <v>0.75</v>
      </c>
      <c r="Q6" s="40" t="n">
        <v>0.5</v>
      </c>
      <c r="R6" s="31" t="n">
        <f aca="false">H6*L6</f>
        <v>80.988067485</v>
      </c>
      <c r="S6" s="31" t="n">
        <f aca="false">H6*M6*O6</f>
        <v>112.348142379515</v>
      </c>
      <c r="T6" s="31" t="n">
        <f aca="false">H6*P6*(1+Assumptions!$C$6)</f>
        <v>11.680971271875</v>
      </c>
      <c r="U6" s="31" t="n">
        <f aca="false">H6*Q6*(1+Assumptions!$C$6)</f>
        <v>7.78731418125</v>
      </c>
      <c r="V6" s="31" t="n">
        <f aca="false">SUM(R6:U6)</f>
        <v>212.80449531764</v>
      </c>
      <c r="W6" s="31" t="n">
        <f aca="false">IFERROR(V6/H6,0)</f>
        <v>13.8343302</v>
      </c>
      <c r="X6" s="30" t="s">
        <v>153</v>
      </c>
      <c r="Y6" s="30" t="s">
        <v>152</v>
      </c>
      <c r="Z6" s="30" t="s">
        <v>154</v>
      </c>
    </row>
    <row r="7" customFormat="false" ht="37.5" hidden="false" customHeight="true" outlineLevel="0" collapsed="false">
      <c r="B7" s="34" t="s">
        <v>155</v>
      </c>
      <c r="C7" s="34" t="s">
        <v>30</v>
      </c>
      <c r="D7" s="34" t="s">
        <v>148</v>
      </c>
      <c r="E7" s="34" t="s">
        <v>149</v>
      </c>
      <c r="F7" s="34" t="s">
        <v>31</v>
      </c>
      <c r="G7" s="34" t="s">
        <v>156</v>
      </c>
      <c r="H7" s="41" t="n">
        <v>10.270985</v>
      </c>
      <c r="I7" s="34" t="s">
        <v>151</v>
      </c>
      <c r="J7" s="34" t="s">
        <v>152</v>
      </c>
      <c r="K7" s="40" t="n">
        <v>7.4</v>
      </c>
      <c r="L7" s="37" t="n">
        <f aca="false">K7*(1+Assumptions!$C$6)</f>
        <v>7.4925</v>
      </c>
      <c r="M7" s="40" t="n">
        <v>0.18</v>
      </c>
      <c r="N7" s="37" t="s">
        <v>92</v>
      </c>
      <c r="O7" s="37" t="n">
        <f aca="false">IFERROR(VLOOKUP(N7,'Rate Buildups'!$B$6:$H$16,7,FALSE()),0)</f>
        <v>45.6481575</v>
      </c>
      <c r="P7" s="40" t="n">
        <v>1</v>
      </c>
      <c r="Q7" s="40" t="n">
        <v>0.5</v>
      </c>
      <c r="R7" s="37" t="n">
        <f aca="false">H7*L7</f>
        <v>76.9553551125</v>
      </c>
      <c r="S7" s="37" t="n">
        <f aca="false">H7*M7*O7</f>
        <v>84.3932773728247</v>
      </c>
      <c r="T7" s="37" t="n">
        <f aca="false">H7*P7*(1+Assumptions!$C$6)</f>
        <v>10.3993723125</v>
      </c>
      <c r="U7" s="37" t="n">
        <f aca="false">H7*Q7*(1+Assumptions!$C$6)</f>
        <v>5.19968615625</v>
      </c>
      <c r="V7" s="37" t="n">
        <f aca="false">SUM(R7:U7)</f>
        <v>176.947690954075</v>
      </c>
      <c r="W7" s="37" t="n">
        <f aca="false">IFERROR(V7/H7,0)</f>
        <v>17.22791835</v>
      </c>
      <c r="X7" s="34" t="s">
        <v>153</v>
      </c>
      <c r="Y7" s="34" t="s">
        <v>152</v>
      </c>
      <c r="Z7" s="34" t="s">
        <v>154</v>
      </c>
    </row>
    <row r="8" customFormat="false" ht="37.5" hidden="false" customHeight="true" outlineLevel="0" collapsed="false">
      <c r="B8" s="30" t="s">
        <v>157</v>
      </c>
      <c r="C8" s="30" t="s">
        <v>30</v>
      </c>
      <c r="D8" s="30" t="s">
        <v>148</v>
      </c>
      <c r="E8" s="30" t="s">
        <v>149</v>
      </c>
      <c r="F8" s="30" t="s">
        <v>31</v>
      </c>
      <c r="G8" s="30" t="s">
        <v>158</v>
      </c>
      <c r="H8" s="39" t="n">
        <v>45.432263</v>
      </c>
      <c r="I8" s="30" t="s">
        <v>151</v>
      </c>
      <c r="J8" s="30" t="s">
        <v>152</v>
      </c>
      <c r="K8" s="40" t="n">
        <v>10.25</v>
      </c>
      <c r="L8" s="31" t="n">
        <f aca="false">K8*(1+Assumptions!$C$6)</f>
        <v>10.378125</v>
      </c>
      <c r="M8" s="40" t="n">
        <v>0.22</v>
      </c>
      <c r="N8" s="31" t="s">
        <v>92</v>
      </c>
      <c r="O8" s="31" t="n">
        <f aca="false">IFERROR(VLOOKUP(N8,'Rate Buildups'!$B$6:$H$16,7,FALSE()),0)</f>
        <v>45.6481575</v>
      </c>
      <c r="P8" s="40" t="n">
        <v>1.25</v>
      </c>
      <c r="Q8" s="40" t="n">
        <v>0.75</v>
      </c>
      <c r="R8" s="31" t="n">
        <f aca="false">H8*L8</f>
        <v>471.501704446875</v>
      </c>
      <c r="S8" s="31" t="n">
        <f aca="false">H8*M8*O8</f>
        <v>456.257801341193</v>
      </c>
      <c r="T8" s="31" t="n">
        <f aca="false">H8*P8*(1+Assumptions!$C$6)</f>
        <v>57.500207859375</v>
      </c>
      <c r="U8" s="31" t="n">
        <f aca="false">H8*Q8*(1+Assumptions!$C$6)</f>
        <v>34.500124715625</v>
      </c>
      <c r="V8" s="31" t="n">
        <f aca="false">SUM(R8:U8)</f>
        <v>1019.75983836307</v>
      </c>
      <c r="W8" s="31" t="n">
        <f aca="false">IFERROR(V8/H8,0)</f>
        <v>22.44571965</v>
      </c>
      <c r="X8" s="30" t="s">
        <v>153</v>
      </c>
      <c r="Y8" s="30" t="s">
        <v>152</v>
      </c>
      <c r="Z8" s="30" t="s">
        <v>154</v>
      </c>
    </row>
    <row r="9" customFormat="false" ht="37.5" hidden="false" customHeight="true" outlineLevel="0" collapsed="false">
      <c r="B9" s="34" t="s">
        <v>159</v>
      </c>
      <c r="C9" s="34" t="s">
        <v>30</v>
      </c>
      <c r="D9" s="34" t="s">
        <v>148</v>
      </c>
      <c r="E9" s="34" t="s">
        <v>149</v>
      </c>
      <c r="F9" s="34" t="s">
        <v>31</v>
      </c>
      <c r="G9" s="34" t="s">
        <v>160</v>
      </c>
      <c r="H9" s="41" t="n">
        <v>1.500325</v>
      </c>
      <c r="I9" s="34" t="s">
        <v>151</v>
      </c>
      <c r="J9" s="34" t="s">
        <v>152</v>
      </c>
      <c r="K9" s="40" t="n">
        <v>18.5</v>
      </c>
      <c r="L9" s="37" t="n">
        <f aca="false">K9*(1+Assumptions!$C$6)</f>
        <v>18.73125</v>
      </c>
      <c r="M9" s="40" t="n">
        <v>0.32</v>
      </c>
      <c r="N9" s="37" t="s">
        <v>92</v>
      </c>
      <c r="O9" s="37" t="n">
        <f aca="false">IFERROR(VLOOKUP(N9,'Rate Buildups'!$B$6:$H$16,7,FALSE()),0)</f>
        <v>45.6481575</v>
      </c>
      <c r="P9" s="40" t="n">
        <v>2</v>
      </c>
      <c r="Q9" s="40" t="n">
        <v>1</v>
      </c>
      <c r="R9" s="37" t="n">
        <f aca="false">H9*L9</f>
        <v>28.10296265625</v>
      </c>
      <c r="S9" s="37" t="n">
        <f aca="false">H9*M9*O9</f>
        <v>21.91586300838</v>
      </c>
      <c r="T9" s="37" t="n">
        <f aca="false">H9*P9*(1+Assumptions!$C$6)</f>
        <v>3.038158125</v>
      </c>
      <c r="U9" s="37" t="n">
        <f aca="false">H9*Q9*(1+Assumptions!$C$6)</f>
        <v>1.5190790625</v>
      </c>
      <c r="V9" s="37" t="n">
        <f aca="false">SUM(R9:U9)</f>
        <v>54.57606285213</v>
      </c>
      <c r="W9" s="37" t="n">
        <f aca="false">IFERROR(V9/H9,0)</f>
        <v>36.3761604</v>
      </c>
      <c r="X9" s="34" t="s">
        <v>153</v>
      </c>
      <c r="Y9" s="34" t="s">
        <v>152</v>
      </c>
      <c r="Z9" s="34" t="s">
        <v>154</v>
      </c>
    </row>
    <row r="10" customFormat="false" ht="37.5" hidden="false" customHeight="true" outlineLevel="0" collapsed="false">
      <c r="B10" s="30" t="s">
        <v>161</v>
      </c>
      <c r="C10" s="30" t="s">
        <v>30</v>
      </c>
      <c r="D10" s="30" t="s">
        <v>162</v>
      </c>
      <c r="E10" s="30" t="s">
        <v>163</v>
      </c>
      <c r="F10" s="30" t="s">
        <v>31</v>
      </c>
      <c r="G10" s="30" t="s">
        <v>164</v>
      </c>
      <c r="H10" s="39" t="n">
        <v>1</v>
      </c>
      <c r="I10" s="30" t="s">
        <v>165</v>
      </c>
      <c r="J10" s="30" t="s">
        <v>166</v>
      </c>
      <c r="K10" s="40" t="n">
        <v>250</v>
      </c>
      <c r="L10" s="31" t="n">
        <f aca="false">K10*(1+Assumptions!$C$6)</f>
        <v>253.125</v>
      </c>
      <c r="M10" s="40" t="n">
        <v>10</v>
      </c>
      <c r="N10" s="31" t="s">
        <v>92</v>
      </c>
      <c r="O10" s="31" t="n">
        <f aca="false">IFERROR(VLOOKUP(N10,'Rate Buildups'!$B$6:$H$16,7,FALSE()),0)</f>
        <v>45.6481575</v>
      </c>
      <c r="P10" s="40" t="n">
        <v>25</v>
      </c>
      <c r="Q10" s="40" t="n">
        <v>50</v>
      </c>
      <c r="R10" s="31" t="n">
        <f aca="false">H10*L10</f>
        <v>253.125</v>
      </c>
      <c r="S10" s="31" t="n">
        <f aca="false">H10*M10*O10</f>
        <v>456.481575</v>
      </c>
      <c r="T10" s="31" t="n">
        <f aca="false">H10*P10*(1+Assumptions!$C$6)</f>
        <v>25.3125</v>
      </c>
      <c r="U10" s="31" t="n">
        <f aca="false">H10*Q10*(1+Assumptions!$C$6)</f>
        <v>50.625</v>
      </c>
      <c r="V10" s="31" t="n">
        <f aca="false">SUM(R10:U10)</f>
        <v>785.544075</v>
      </c>
      <c r="W10" s="31" t="n">
        <f aca="false">IFERROR(V10/H10,0)</f>
        <v>785.544075</v>
      </c>
      <c r="X10" s="30" t="s">
        <v>153</v>
      </c>
      <c r="Y10" s="30" t="s">
        <v>166</v>
      </c>
      <c r="Z10" s="30" t="s">
        <v>167</v>
      </c>
    </row>
    <row r="11" customFormat="false" ht="37.5" hidden="false" customHeight="true" outlineLevel="0" collapsed="false">
      <c r="B11" s="34" t="s">
        <v>168</v>
      </c>
      <c r="C11" s="34" t="s">
        <v>30</v>
      </c>
      <c r="D11" s="34" t="s">
        <v>162</v>
      </c>
      <c r="E11" s="34" t="s">
        <v>163</v>
      </c>
      <c r="F11" s="34" t="s">
        <v>31</v>
      </c>
      <c r="G11" s="34" t="s">
        <v>169</v>
      </c>
      <c r="H11" s="41" t="n">
        <v>2</v>
      </c>
      <c r="I11" s="34" t="s">
        <v>165</v>
      </c>
      <c r="J11" s="34" t="s">
        <v>166</v>
      </c>
      <c r="K11" s="40" t="n">
        <v>180</v>
      </c>
      <c r="L11" s="37" t="n">
        <f aca="false">K11*(1+Assumptions!$C$6)</f>
        <v>182.25</v>
      </c>
      <c r="M11" s="40" t="n">
        <v>8</v>
      </c>
      <c r="N11" s="37" t="s">
        <v>92</v>
      </c>
      <c r="O11" s="37" t="n">
        <f aca="false">IFERROR(VLOOKUP(N11,'Rate Buildups'!$B$6:$H$16,7,FALSE()),0)</f>
        <v>45.6481575</v>
      </c>
      <c r="P11" s="40" t="n">
        <v>10</v>
      </c>
      <c r="Q11" s="40" t="n">
        <v>25</v>
      </c>
      <c r="R11" s="37" t="n">
        <f aca="false">H11*L11</f>
        <v>364.5</v>
      </c>
      <c r="S11" s="37" t="n">
        <f aca="false">H11*M11*O11</f>
        <v>730.37052</v>
      </c>
      <c r="T11" s="37" t="n">
        <f aca="false">H11*P11*(1+Assumptions!$C$6)</f>
        <v>20.25</v>
      </c>
      <c r="U11" s="37" t="n">
        <f aca="false">H11*Q11*(1+Assumptions!$C$6)</f>
        <v>50.625</v>
      </c>
      <c r="V11" s="37" t="n">
        <f aca="false">SUM(R11:U11)</f>
        <v>1165.74552</v>
      </c>
      <c r="W11" s="37" t="n">
        <f aca="false">IFERROR(V11/H11,0)</f>
        <v>582.87276</v>
      </c>
      <c r="X11" s="34" t="s">
        <v>153</v>
      </c>
      <c r="Y11" s="34" t="s">
        <v>166</v>
      </c>
      <c r="Z11" s="34" t="s">
        <v>167</v>
      </c>
    </row>
    <row r="12" customFormat="false" ht="37.5" hidden="false" customHeight="true" outlineLevel="0" collapsed="false">
      <c r="B12" s="30" t="s">
        <v>170</v>
      </c>
      <c r="C12" s="30" t="s">
        <v>30</v>
      </c>
      <c r="D12" s="30" t="s">
        <v>162</v>
      </c>
      <c r="E12" s="30" t="s">
        <v>163</v>
      </c>
      <c r="F12" s="30" t="s">
        <v>31</v>
      </c>
      <c r="G12" s="30" t="s">
        <v>171</v>
      </c>
      <c r="H12" s="39" t="n">
        <v>1</v>
      </c>
      <c r="I12" s="30" t="s">
        <v>165</v>
      </c>
      <c r="J12" s="30" t="s">
        <v>166</v>
      </c>
      <c r="K12" s="40" t="n">
        <v>120</v>
      </c>
      <c r="L12" s="31" t="n">
        <f aca="false">K12*(1+Assumptions!$C$6)</f>
        <v>121.5</v>
      </c>
      <c r="M12" s="40" t="n">
        <v>14</v>
      </c>
      <c r="N12" s="31" t="s">
        <v>92</v>
      </c>
      <c r="O12" s="31" t="n">
        <f aca="false">IFERROR(VLOOKUP(N12,'Rate Buildups'!$B$6:$H$16,7,FALSE()),0)</f>
        <v>45.6481575</v>
      </c>
      <c r="P12" s="40" t="n">
        <v>15</v>
      </c>
      <c r="Q12" s="40" t="n">
        <v>40</v>
      </c>
      <c r="R12" s="31" t="n">
        <f aca="false">H12*L12</f>
        <v>121.5</v>
      </c>
      <c r="S12" s="31" t="n">
        <f aca="false">H12*M12*O12</f>
        <v>639.074205</v>
      </c>
      <c r="T12" s="31" t="n">
        <f aca="false">H12*P12*(1+Assumptions!$C$6)</f>
        <v>15.1875</v>
      </c>
      <c r="U12" s="31" t="n">
        <f aca="false">H12*Q12*(1+Assumptions!$C$6)</f>
        <v>40.5</v>
      </c>
      <c r="V12" s="31" t="n">
        <f aca="false">SUM(R12:U12)</f>
        <v>816.261705</v>
      </c>
      <c r="W12" s="31" t="n">
        <f aca="false">IFERROR(V12/H12,0)</f>
        <v>816.261705</v>
      </c>
      <c r="X12" s="30" t="s">
        <v>153</v>
      </c>
      <c r="Y12" s="30" t="s">
        <v>166</v>
      </c>
      <c r="Z12" s="30" t="s">
        <v>167</v>
      </c>
    </row>
    <row r="13" customFormat="false" ht="37.5" hidden="false" customHeight="true" outlineLevel="0" collapsed="false">
      <c r="B13" s="34" t="s">
        <v>172</v>
      </c>
      <c r="C13" s="34" t="s">
        <v>30</v>
      </c>
      <c r="D13" s="34" t="s">
        <v>162</v>
      </c>
      <c r="E13" s="34" t="s">
        <v>163</v>
      </c>
      <c r="F13" s="34" t="s">
        <v>31</v>
      </c>
      <c r="G13" s="34" t="s">
        <v>173</v>
      </c>
      <c r="H13" s="41" t="n">
        <v>1</v>
      </c>
      <c r="I13" s="34" t="s">
        <v>165</v>
      </c>
      <c r="J13" s="34" t="s">
        <v>166</v>
      </c>
      <c r="K13" s="40" t="n">
        <v>150</v>
      </c>
      <c r="L13" s="37" t="n">
        <f aca="false">K13*(1+Assumptions!$C$6)</f>
        <v>151.875</v>
      </c>
      <c r="M13" s="40" t="n">
        <v>16</v>
      </c>
      <c r="N13" s="37" t="s">
        <v>92</v>
      </c>
      <c r="O13" s="37" t="n">
        <f aca="false">IFERROR(VLOOKUP(N13,'Rate Buildups'!$B$6:$H$16,7,FALSE()),0)</f>
        <v>45.6481575</v>
      </c>
      <c r="P13" s="40" t="n">
        <v>15</v>
      </c>
      <c r="Q13" s="40" t="n">
        <v>40</v>
      </c>
      <c r="R13" s="37" t="n">
        <f aca="false">H13*L13</f>
        <v>151.875</v>
      </c>
      <c r="S13" s="37" t="n">
        <f aca="false">H13*M13*O13</f>
        <v>730.37052</v>
      </c>
      <c r="T13" s="37" t="n">
        <f aca="false">H13*P13*(1+Assumptions!$C$6)</f>
        <v>15.1875</v>
      </c>
      <c r="U13" s="37" t="n">
        <f aca="false">H13*Q13*(1+Assumptions!$C$6)</f>
        <v>40.5</v>
      </c>
      <c r="V13" s="37" t="n">
        <f aca="false">SUM(R13:U13)</f>
        <v>937.93302</v>
      </c>
      <c r="W13" s="37" t="n">
        <f aca="false">IFERROR(V13/H13,0)</f>
        <v>937.93302</v>
      </c>
      <c r="X13" s="34" t="s">
        <v>153</v>
      </c>
      <c r="Y13" s="34" t="s">
        <v>166</v>
      </c>
      <c r="Z13" s="34" t="s">
        <v>167</v>
      </c>
    </row>
    <row r="14" customFormat="false" ht="37.5" hidden="false" customHeight="true" outlineLevel="0" collapsed="false">
      <c r="B14" s="30" t="s">
        <v>174</v>
      </c>
      <c r="C14" s="30" t="s">
        <v>30</v>
      </c>
      <c r="D14" s="30" t="s">
        <v>162</v>
      </c>
      <c r="E14" s="30" t="s">
        <v>163</v>
      </c>
      <c r="F14" s="30" t="s">
        <v>31</v>
      </c>
      <c r="G14" s="30" t="s">
        <v>175</v>
      </c>
      <c r="H14" s="39" t="n">
        <v>2</v>
      </c>
      <c r="I14" s="30" t="s">
        <v>165</v>
      </c>
      <c r="J14" s="30" t="s">
        <v>166</v>
      </c>
      <c r="K14" s="40" t="n">
        <v>90</v>
      </c>
      <c r="L14" s="31" t="n">
        <f aca="false">K14*(1+Assumptions!$C$6)</f>
        <v>91.125</v>
      </c>
      <c r="M14" s="40" t="n">
        <v>5</v>
      </c>
      <c r="N14" s="31" t="s">
        <v>92</v>
      </c>
      <c r="O14" s="31" t="n">
        <f aca="false">IFERROR(VLOOKUP(N14,'Rate Buildups'!$B$6:$H$16,7,FALSE()),0)</f>
        <v>45.6481575</v>
      </c>
      <c r="P14" s="40" t="n">
        <v>5</v>
      </c>
      <c r="Q14" s="40" t="n">
        <v>20</v>
      </c>
      <c r="R14" s="31" t="n">
        <f aca="false">H14*L14</f>
        <v>182.25</v>
      </c>
      <c r="S14" s="31" t="n">
        <f aca="false">H14*M14*O14</f>
        <v>456.481575</v>
      </c>
      <c r="T14" s="31" t="n">
        <f aca="false">H14*P14*(1+Assumptions!$C$6)</f>
        <v>10.125</v>
      </c>
      <c r="U14" s="31" t="n">
        <f aca="false">H14*Q14*(1+Assumptions!$C$6)</f>
        <v>40.5</v>
      </c>
      <c r="V14" s="31" t="n">
        <f aca="false">SUM(R14:U14)</f>
        <v>689.356575</v>
      </c>
      <c r="W14" s="31" t="n">
        <f aca="false">IFERROR(V14/H14,0)</f>
        <v>344.6782875</v>
      </c>
      <c r="X14" s="30" t="s">
        <v>153</v>
      </c>
      <c r="Y14" s="30" t="s">
        <v>166</v>
      </c>
      <c r="Z14" s="30" t="s">
        <v>167</v>
      </c>
    </row>
    <row r="15" customFormat="false" ht="37.5" hidden="false" customHeight="true" outlineLevel="0" collapsed="false">
      <c r="B15" s="34" t="s">
        <v>176</v>
      </c>
      <c r="C15" s="34" t="s">
        <v>30</v>
      </c>
      <c r="D15" s="34" t="s">
        <v>162</v>
      </c>
      <c r="E15" s="34" t="s">
        <v>163</v>
      </c>
      <c r="F15" s="34" t="s">
        <v>31</v>
      </c>
      <c r="G15" s="34" t="s">
        <v>177</v>
      </c>
      <c r="H15" s="41" t="n">
        <v>1</v>
      </c>
      <c r="I15" s="34" t="s">
        <v>165</v>
      </c>
      <c r="J15" s="34" t="s">
        <v>166</v>
      </c>
      <c r="K15" s="40" t="n">
        <v>25</v>
      </c>
      <c r="L15" s="37" t="n">
        <f aca="false">K15*(1+Assumptions!$C$6)</f>
        <v>25.3125</v>
      </c>
      <c r="M15" s="40" t="n">
        <v>2</v>
      </c>
      <c r="N15" s="37" t="s">
        <v>98</v>
      </c>
      <c r="O15" s="37" t="n">
        <f aca="false">IFERROR(VLOOKUP(N15,'Rate Buildups'!$B$6:$H$16,7,FALSE()),0)</f>
        <v>39.639375</v>
      </c>
      <c r="P15" s="40" t="n">
        <v>5</v>
      </c>
      <c r="Q15" s="40" t="n">
        <v>10</v>
      </c>
      <c r="R15" s="37" t="n">
        <f aca="false">H15*L15</f>
        <v>25.3125</v>
      </c>
      <c r="S15" s="37" t="n">
        <f aca="false">H15*M15*O15</f>
        <v>79.27875</v>
      </c>
      <c r="T15" s="37" t="n">
        <f aca="false">H15*P15*(1+Assumptions!$C$6)</f>
        <v>5.0625</v>
      </c>
      <c r="U15" s="37" t="n">
        <f aca="false">H15*Q15*(1+Assumptions!$C$6)</f>
        <v>10.125</v>
      </c>
      <c r="V15" s="37" t="n">
        <f aca="false">SUM(R15:U15)</f>
        <v>119.77875</v>
      </c>
      <c r="W15" s="37" t="n">
        <f aca="false">IFERROR(V15/H15,0)</f>
        <v>119.77875</v>
      </c>
      <c r="X15" s="34" t="s">
        <v>153</v>
      </c>
      <c r="Y15" s="34" t="s">
        <v>166</v>
      </c>
      <c r="Z15" s="34" t="s">
        <v>167</v>
      </c>
    </row>
    <row r="16" customFormat="false" ht="37.5" hidden="false" customHeight="true" outlineLevel="0" collapsed="false">
      <c r="B16" s="30" t="s">
        <v>178</v>
      </c>
      <c r="C16" s="30" t="s">
        <v>30</v>
      </c>
      <c r="D16" s="30" t="s">
        <v>162</v>
      </c>
      <c r="E16" s="30" t="s">
        <v>163</v>
      </c>
      <c r="F16" s="30" t="s">
        <v>31</v>
      </c>
      <c r="G16" s="30" t="s">
        <v>179</v>
      </c>
      <c r="H16" s="39" t="n">
        <v>1</v>
      </c>
      <c r="I16" s="30" t="s">
        <v>165</v>
      </c>
      <c r="J16" s="30" t="s">
        <v>166</v>
      </c>
      <c r="K16" s="40" t="n">
        <v>15</v>
      </c>
      <c r="L16" s="31" t="n">
        <f aca="false">K16*(1+Assumptions!$C$6)</f>
        <v>15.1875</v>
      </c>
      <c r="M16" s="40" t="n">
        <v>2</v>
      </c>
      <c r="N16" s="31" t="s">
        <v>98</v>
      </c>
      <c r="O16" s="31" t="n">
        <f aca="false">IFERROR(VLOOKUP(N16,'Rate Buildups'!$B$6:$H$16,7,FALSE()),0)</f>
        <v>39.639375</v>
      </c>
      <c r="P16" s="40" t="n">
        <v>5</v>
      </c>
      <c r="Q16" s="40" t="n">
        <v>10</v>
      </c>
      <c r="R16" s="31" t="n">
        <f aca="false">H16*L16</f>
        <v>15.1875</v>
      </c>
      <c r="S16" s="31" t="n">
        <f aca="false">H16*M16*O16</f>
        <v>79.27875</v>
      </c>
      <c r="T16" s="31" t="n">
        <f aca="false">H16*P16*(1+Assumptions!$C$6)</f>
        <v>5.0625</v>
      </c>
      <c r="U16" s="31" t="n">
        <f aca="false">H16*Q16*(1+Assumptions!$C$6)</f>
        <v>10.125</v>
      </c>
      <c r="V16" s="31" t="n">
        <f aca="false">SUM(R16:U16)</f>
        <v>109.65375</v>
      </c>
      <c r="W16" s="31" t="n">
        <f aca="false">IFERROR(V16/H16,0)</f>
        <v>109.65375</v>
      </c>
      <c r="X16" s="30" t="s">
        <v>153</v>
      </c>
      <c r="Y16" s="30" t="s">
        <v>166</v>
      </c>
      <c r="Z16" s="30" t="s">
        <v>167</v>
      </c>
    </row>
    <row r="17" customFormat="false" ht="37.5" hidden="false" customHeight="true" outlineLevel="0" collapsed="false">
      <c r="B17" s="34" t="s">
        <v>180</v>
      </c>
      <c r="C17" s="34" t="s">
        <v>30</v>
      </c>
      <c r="D17" s="34" t="s">
        <v>148</v>
      </c>
      <c r="E17" s="34" t="s">
        <v>181</v>
      </c>
      <c r="F17" s="34" t="s">
        <v>31</v>
      </c>
      <c r="G17" s="34" t="s">
        <v>182</v>
      </c>
      <c r="H17" s="41" t="n">
        <v>3</v>
      </c>
      <c r="I17" s="34" t="s">
        <v>165</v>
      </c>
      <c r="J17" s="34" t="s">
        <v>183</v>
      </c>
      <c r="K17" s="40" t="n">
        <v>85</v>
      </c>
      <c r="L17" s="37" t="n">
        <f aca="false">K17*(1+Assumptions!$C$6)</f>
        <v>86.0625</v>
      </c>
      <c r="M17" s="40" t="n">
        <v>2.5</v>
      </c>
      <c r="N17" s="37" t="s">
        <v>92</v>
      </c>
      <c r="O17" s="37" t="n">
        <f aca="false">IFERROR(VLOOKUP(N17,'Rate Buildups'!$B$6:$H$16,7,FALSE()),0)</f>
        <v>45.6481575</v>
      </c>
      <c r="P17" s="40" t="n">
        <v>5</v>
      </c>
      <c r="Q17" s="40" t="n">
        <v>10</v>
      </c>
      <c r="R17" s="37" t="n">
        <f aca="false">H17*L17</f>
        <v>258.1875</v>
      </c>
      <c r="S17" s="37" t="n">
        <f aca="false">H17*M17*O17</f>
        <v>342.36118125</v>
      </c>
      <c r="T17" s="37" t="n">
        <f aca="false">H17*P17*(1+Assumptions!$C$6)</f>
        <v>15.1875</v>
      </c>
      <c r="U17" s="37" t="n">
        <f aca="false">H17*Q17*(1+Assumptions!$C$6)</f>
        <v>30.375</v>
      </c>
      <c r="V17" s="37" t="n">
        <f aca="false">SUM(R17:U17)</f>
        <v>646.11118125</v>
      </c>
      <c r="W17" s="37" t="n">
        <f aca="false">IFERROR(V17/H17,0)</f>
        <v>215.37039375</v>
      </c>
      <c r="X17" s="34" t="s">
        <v>153</v>
      </c>
      <c r="Y17" s="34" t="s">
        <v>183</v>
      </c>
      <c r="Z17" s="34" t="s">
        <v>184</v>
      </c>
    </row>
    <row r="18" customFormat="false" ht="37.5" hidden="false" customHeight="true" outlineLevel="0" collapsed="false">
      <c r="B18" s="30" t="s">
        <v>185</v>
      </c>
      <c r="C18" s="30" t="s">
        <v>30</v>
      </c>
      <c r="D18" s="30" t="s">
        <v>148</v>
      </c>
      <c r="E18" s="30" t="s">
        <v>181</v>
      </c>
      <c r="F18" s="30" t="s">
        <v>31</v>
      </c>
      <c r="G18" s="30" t="s">
        <v>186</v>
      </c>
      <c r="H18" s="39" t="n">
        <v>3</v>
      </c>
      <c r="I18" s="30" t="s">
        <v>165</v>
      </c>
      <c r="J18" s="30" t="s">
        <v>183</v>
      </c>
      <c r="K18" s="40" t="n">
        <v>160</v>
      </c>
      <c r="L18" s="31" t="n">
        <f aca="false">K18*(1+Assumptions!$C$6)</f>
        <v>162</v>
      </c>
      <c r="M18" s="40" t="n">
        <v>6</v>
      </c>
      <c r="N18" s="31" t="s">
        <v>92</v>
      </c>
      <c r="O18" s="31" t="n">
        <f aca="false">IFERROR(VLOOKUP(N18,'Rate Buildups'!$B$6:$H$16,7,FALSE()),0)</f>
        <v>45.6481575</v>
      </c>
      <c r="P18" s="40" t="n">
        <v>10</v>
      </c>
      <c r="Q18" s="40" t="n">
        <v>20</v>
      </c>
      <c r="R18" s="31" t="n">
        <f aca="false">H18*L18</f>
        <v>486</v>
      </c>
      <c r="S18" s="31" t="n">
        <f aca="false">H18*M18*O18</f>
        <v>821.666835</v>
      </c>
      <c r="T18" s="31" t="n">
        <f aca="false">H18*P18*(1+Assumptions!$C$6)</f>
        <v>30.375</v>
      </c>
      <c r="U18" s="31" t="n">
        <f aca="false">H18*Q18*(1+Assumptions!$C$6)</f>
        <v>60.75</v>
      </c>
      <c r="V18" s="31" t="n">
        <f aca="false">SUM(R18:U18)</f>
        <v>1398.791835</v>
      </c>
      <c r="W18" s="31" t="n">
        <f aca="false">IFERROR(V18/H18,0)</f>
        <v>466.263945</v>
      </c>
      <c r="X18" s="30" t="s">
        <v>153</v>
      </c>
      <c r="Y18" s="30" t="s">
        <v>183</v>
      </c>
      <c r="Z18" s="30" t="s">
        <v>184</v>
      </c>
    </row>
    <row r="19" customFormat="false" ht="37.5" hidden="false" customHeight="true" outlineLevel="0" collapsed="false">
      <c r="B19" s="34" t="s">
        <v>187</v>
      </c>
      <c r="C19" s="34" t="s">
        <v>30</v>
      </c>
      <c r="D19" s="34" t="s">
        <v>148</v>
      </c>
      <c r="E19" s="34" t="s">
        <v>181</v>
      </c>
      <c r="F19" s="34" t="s">
        <v>31</v>
      </c>
      <c r="G19" s="34" t="s">
        <v>188</v>
      </c>
      <c r="H19" s="41" t="n">
        <v>1</v>
      </c>
      <c r="I19" s="34" t="s">
        <v>165</v>
      </c>
      <c r="J19" s="34" t="s">
        <v>183</v>
      </c>
      <c r="K19" s="40" t="n">
        <v>75</v>
      </c>
      <c r="L19" s="37" t="n">
        <f aca="false">K19*(1+Assumptions!$C$6)</f>
        <v>75.9375</v>
      </c>
      <c r="M19" s="40" t="n">
        <v>2</v>
      </c>
      <c r="N19" s="37" t="s">
        <v>92</v>
      </c>
      <c r="O19" s="37" t="n">
        <f aca="false">IFERROR(VLOOKUP(N19,'Rate Buildups'!$B$6:$H$16,7,FALSE()),0)</f>
        <v>45.6481575</v>
      </c>
      <c r="P19" s="40" t="n">
        <v>5</v>
      </c>
      <c r="Q19" s="40" t="n">
        <v>10</v>
      </c>
      <c r="R19" s="37" t="n">
        <f aca="false">H19*L19</f>
        <v>75.9375</v>
      </c>
      <c r="S19" s="37" t="n">
        <f aca="false">H19*M19*O19</f>
        <v>91.296315</v>
      </c>
      <c r="T19" s="37" t="n">
        <f aca="false">H19*P19*(1+Assumptions!$C$6)</f>
        <v>5.0625</v>
      </c>
      <c r="U19" s="37" t="n">
        <f aca="false">H19*Q19*(1+Assumptions!$C$6)</f>
        <v>10.125</v>
      </c>
      <c r="V19" s="37" t="n">
        <f aca="false">SUM(R19:U19)</f>
        <v>182.421315</v>
      </c>
      <c r="W19" s="37" t="n">
        <f aca="false">IFERROR(V19/H19,0)</f>
        <v>182.421315</v>
      </c>
      <c r="X19" s="34" t="s">
        <v>153</v>
      </c>
      <c r="Y19" s="34" t="s">
        <v>183</v>
      </c>
      <c r="Z19" s="34" t="s">
        <v>184</v>
      </c>
    </row>
    <row r="20" customFormat="false" ht="37.5" hidden="false" customHeight="true" outlineLevel="0" collapsed="false">
      <c r="B20" s="30" t="s">
        <v>189</v>
      </c>
      <c r="C20" s="30" t="s">
        <v>30</v>
      </c>
      <c r="D20" s="30" t="s">
        <v>148</v>
      </c>
      <c r="E20" s="30" t="s">
        <v>181</v>
      </c>
      <c r="F20" s="30" t="s">
        <v>31</v>
      </c>
      <c r="G20" s="30" t="s">
        <v>190</v>
      </c>
      <c r="H20" s="39" t="n">
        <v>1</v>
      </c>
      <c r="I20" s="30" t="s">
        <v>165</v>
      </c>
      <c r="J20" s="30" t="s">
        <v>183</v>
      </c>
      <c r="K20" s="40" t="n">
        <v>220</v>
      </c>
      <c r="L20" s="31" t="n">
        <f aca="false">K20*(1+Assumptions!$C$6)</f>
        <v>222.75</v>
      </c>
      <c r="M20" s="40" t="n">
        <v>5</v>
      </c>
      <c r="N20" s="31" t="s">
        <v>92</v>
      </c>
      <c r="O20" s="31" t="n">
        <f aca="false">IFERROR(VLOOKUP(N20,'Rate Buildups'!$B$6:$H$16,7,FALSE()),0)</f>
        <v>45.6481575</v>
      </c>
      <c r="P20" s="40" t="n">
        <v>45</v>
      </c>
      <c r="Q20" s="40" t="n">
        <v>25</v>
      </c>
      <c r="R20" s="31" t="n">
        <f aca="false">H20*L20</f>
        <v>222.75</v>
      </c>
      <c r="S20" s="31" t="n">
        <f aca="false">H20*M20*O20</f>
        <v>228.2407875</v>
      </c>
      <c r="T20" s="31" t="n">
        <f aca="false">H20*P20*(1+Assumptions!$C$6)</f>
        <v>45.5625</v>
      </c>
      <c r="U20" s="31" t="n">
        <f aca="false">H20*Q20*(1+Assumptions!$C$6)</f>
        <v>25.3125</v>
      </c>
      <c r="V20" s="31" t="n">
        <f aca="false">SUM(R20:U20)</f>
        <v>521.8657875</v>
      </c>
      <c r="W20" s="31" t="n">
        <f aca="false">IFERROR(V20/H20,0)</f>
        <v>521.8657875</v>
      </c>
      <c r="X20" s="30" t="s">
        <v>153</v>
      </c>
      <c r="Y20" s="30" t="s">
        <v>183</v>
      </c>
      <c r="Z20" s="30" t="s">
        <v>184</v>
      </c>
    </row>
    <row r="21" customFormat="false" ht="37.5" hidden="false" customHeight="true" outlineLevel="0" collapsed="false">
      <c r="B21" s="34" t="s">
        <v>191</v>
      </c>
      <c r="C21" s="34" t="s">
        <v>30</v>
      </c>
      <c r="D21" s="34" t="s">
        <v>148</v>
      </c>
      <c r="E21" s="34" t="s">
        <v>181</v>
      </c>
      <c r="F21" s="34" t="s">
        <v>31</v>
      </c>
      <c r="G21" s="34" t="s">
        <v>192</v>
      </c>
      <c r="H21" s="41" t="n">
        <v>1</v>
      </c>
      <c r="I21" s="34" t="s">
        <v>165</v>
      </c>
      <c r="J21" s="34" t="s">
        <v>183</v>
      </c>
      <c r="K21" s="40" t="n">
        <v>45</v>
      </c>
      <c r="L21" s="37" t="n">
        <f aca="false">K21*(1+Assumptions!$C$6)</f>
        <v>45.5625</v>
      </c>
      <c r="M21" s="40" t="n">
        <v>1.5</v>
      </c>
      <c r="N21" s="37" t="s">
        <v>92</v>
      </c>
      <c r="O21" s="37" t="n">
        <f aca="false">IFERROR(VLOOKUP(N21,'Rate Buildups'!$B$6:$H$16,7,FALSE()),0)</f>
        <v>45.6481575</v>
      </c>
      <c r="P21" s="40" t="n">
        <v>0</v>
      </c>
      <c r="Q21" s="40" t="n">
        <v>5</v>
      </c>
      <c r="R21" s="37" t="n">
        <f aca="false">H21*L21</f>
        <v>45.5625</v>
      </c>
      <c r="S21" s="37" t="n">
        <f aca="false">H21*M21*O21</f>
        <v>68.47223625</v>
      </c>
      <c r="T21" s="37" t="n">
        <f aca="false">H21*P21*(1+Assumptions!$C$6)</f>
        <v>0</v>
      </c>
      <c r="U21" s="37" t="n">
        <f aca="false">H21*Q21*(1+Assumptions!$C$6)</f>
        <v>5.0625</v>
      </c>
      <c r="V21" s="37" t="n">
        <f aca="false">SUM(R21:U21)</f>
        <v>119.09723625</v>
      </c>
      <c r="W21" s="37" t="n">
        <f aca="false">IFERROR(V21/H21,0)</f>
        <v>119.09723625</v>
      </c>
      <c r="X21" s="34" t="s">
        <v>153</v>
      </c>
      <c r="Y21" s="34" t="s">
        <v>183</v>
      </c>
      <c r="Z21" s="34" t="s">
        <v>184</v>
      </c>
    </row>
    <row r="22" customFormat="false" ht="37.5" hidden="false" customHeight="true" outlineLevel="0" collapsed="false">
      <c r="B22" s="30" t="s">
        <v>193</v>
      </c>
      <c r="C22" s="30" t="s">
        <v>32</v>
      </c>
      <c r="D22" s="30" t="s">
        <v>148</v>
      </c>
      <c r="E22" s="30" t="s">
        <v>194</v>
      </c>
      <c r="F22" s="30" t="s">
        <v>31</v>
      </c>
      <c r="G22" s="30" t="s">
        <v>195</v>
      </c>
      <c r="H22" s="39" t="n">
        <v>1</v>
      </c>
      <c r="I22" s="30" t="s">
        <v>196</v>
      </c>
      <c r="J22" s="30" t="s">
        <v>197</v>
      </c>
      <c r="K22" s="40" t="n">
        <v>25</v>
      </c>
      <c r="L22" s="31" t="n">
        <f aca="false">K22*(1+Assumptions!$C$6)</f>
        <v>25.3125</v>
      </c>
      <c r="M22" s="40" t="n">
        <v>4</v>
      </c>
      <c r="N22" s="31" t="s">
        <v>92</v>
      </c>
      <c r="O22" s="31" t="n">
        <f aca="false">IFERROR(VLOOKUP(N22,'Rate Buildups'!$B$6:$H$16,7,FALSE()),0)</f>
        <v>45.6481575</v>
      </c>
      <c r="P22" s="40" t="n">
        <v>20</v>
      </c>
      <c r="Q22" s="40" t="n">
        <v>75</v>
      </c>
      <c r="R22" s="31" t="n">
        <f aca="false">H22*L22</f>
        <v>25.3125</v>
      </c>
      <c r="S22" s="31" t="n">
        <f aca="false">H22*M22*O22</f>
        <v>182.59263</v>
      </c>
      <c r="T22" s="31" t="n">
        <f aca="false">H22*P22*(1+Assumptions!$C$6)</f>
        <v>20.25</v>
      </c>
      <c r="U22" s="31" t="n">
        <f aca="false">H22*Q22*(1+Assumptions!$C$6)</f>
        <v>75.9375</v>
      </c>
      <c r="V22" s="31" t="n">
        <f aca="false">SUM(R22:U22)</f>
        <v>304.09263</v>
      </c>
      <c r="W22" s="31" t="n">
        <f aca="false">IFERROR(V22/H22,0)</f>
        <v>304.09263</v>
      </c>
      <c r="X22" s="30" t="s">
        <v>153</v>
      </c>
      <c r="Y22" s="30" t="s">
        <v>198</v>
      </c>
      <c r="Z22" s="30" t="s">
        <v>199</v>
      </c>
    </row>
    <row r="23" customFormat="false" ht="37.5" hidden="false" customHeight="true" outlineLevel="0" collapsed="false">
      <c r="B23" s="34" t="s">
        <v>200</v>
      </c>
      <c r="C23" s="34" t="s">
        <v>30</v>
      </c>
      <c r="D23" s="34" t="s">
        <v>148</v>
      </c>
      <c r="E23" s="34" t="s">
        <v>149</v>
      </c>
      <c r="F23" s="34" t="s">
        <v>33</v>
      </c>
      <c r="G23" s="34" t="s">
        <v>150</v>
      </c>
      <c r="H23" s="41" t="n">
        <v>13.759218</v>
      </c>
      <c r="I23" s="34" t="s">
        <v>151</v>
      </c>
      <c r="J23" s="34" t="s">
        <v>152</v>
      </c>
      <c r="K23" s="40" t="n">
        <v>5.2</v>
      </c>
      <c r="L23" s="37" t="n">
        <f aca="false">K23*(1+Assumptions!$C$6)</f>
        <v>5.265</v>
      </c>
      <c r="M23" s="40" t="n">
        <v>0.16</v>
      </c>
      <c r="N23" s="37" t="s">
        <v>92</v>
      </c>
      <c r="O23" s="37" t="n">
        <f aca="false">IFERROR(VLOOKUP(N23,'Rate Buildups'!$B$6:$H$16,7,FALSE()),0)</f>
        <v>45.6481575</v>
      </c>
      <c r="P23" s="40" t="n">
        <v>0.75</v>
      </c>
      <c r="Q23" s="40" t="n">
        <v>0.5</v>
      </c>
      <c r="R23" s="37" t="n">
        <f aca="false">H23*L23</f>
        <v>72.44228277</v>
      </c>
      <c r="S23" s="37" t="n">
        <f aca="false">H23*M23*O23</f>
        <v>100.493272054534</v>
      </c>
      <c r="T23" s="37" t="n">
        <f aca="false">H23*P23*(1+Assumptions!$C$6)</f>
        <v>10.44840616875</v>
      </c>
      <c r="U23" s="37" t="n">
        <f aca="false">H23*Q23*(1+Assumptions!$C$6)</f>
        <v>6.9656041125</v>
      </c>
      <c r="V23" s="37" t="n">
        <f aca="false">SUM(R23:U23)</f>
        <v>190.349565105784</v>
      </c>
      <c r="W23" s="37" t="n">
        <f aca="false">IFERROR(V23/H23,0)</f>
        <v>13.8343302</v>
      </c>
      <c r="X23" s="34" t="s">
        <v>153</v>
      </c>
      <c r="Y23" s="34" t="s">
        <v>152</v>
      </c>
      <c r="Z23" s="34" t="s">
        <v>154</v>
      </c>
    </row>
    <row r="24" customFormat="false" ht="37.5" hidden="false" customHeight="true" outlineLevel="0" collapsed="false">
      <c r="B24" s="30" t="s">
        <v>201</v>
      </c>
      <c r="C24" s="30" t="s">
        <v>30</v>
      </c>
      <c r="D24" s="30" t="s">
        <v>148</v>
      </c>
      <c r="E24" s="30" t="s">
        <v>149</v>
      </c>
      <c r="F24" s="30" t="s">
        <v>33</v>
      </c>
      <c r="G24" s="30" t="s">
        <v>156</v>
      </c>
      <c r="H24" s="39" t="n">
        <v>12.368664</v>
      </c>
      <c r="I24" s="30" t="s">
        <v>151</v>
      </c>
      <c r="J24" s="30" t="s">
        <v>152</v>
      </c>
      <c r="K24" s="40" t="n">
        <v>7.4</v>
      </c>
      <c r="L24" s="31" t="n">
        <f aca="false">K24*(1+Assumptions!$C$6)</f>
        <v>7.4925</v>
      </c>
      <c r="M24" s="40" t="n">
        <v>0.18</v>
      </c>
      <c r="N24" s="31" t="s">
        <v>92</v>
      </c>
      <c r="O24" s="31" t="n">
        <f aca="false">IFERROR(VLOOKUP(N24,'Rate Buildups'!$B$6:$H$16,7,FALSE()),0)</f>
        <v>45.6481575</v>
      </c>
      <c r="P24" s="40" t="n">
        <v>1</v>
      </c>
      <c r="Q24" s="40" t="n">
        <v>0.5</v>
      </c>
      <c r="R24" s="31" t="n">
        <f aca="false">H24*L24</f>
        <v>92.67221502</v>
      </c>
      <c r="S24" s="31" t="n">
        <f aca="false">H24*M24*O24</f>
        <v>101.629210020584</v>
      </c>
      <c r="T24" s="31" t="n">
        <f aca="false">H24*P24*(1+Assumptions!$C$6)</f>
        <v>12.5232723</v>
      </c>
      <c r="U24" s="31" t="n">
        <f aca="false">H24*Q24*(1+Assumptions!$C$6)</f>
        <v>6.26163615</v>
      </c>
      <c r="V24" s="31" t="n">
        <f aca="false">SUM(R24:U24)</f>
        <v>213.086333490584</v>
      </c>
      <c r="W24" s="31" t="n">
        <f aca="false">IFERROR(V24/H24,0)</f>
        <v>17.22791835</v>
      </c>
      <c r="X24" s="30" t="s">
        <v>153</v>
      </c>
      <c r="Y24" s="30" t="s">
        <v>152</v>
      </c>
      <c r="Z24" s="30" t="s">
        <v>154</v>
      </c>
    </row>
    <row r="25" customFormat="false" ht="37.5" hidden="false" customHeight="true" outlineLevel="0" collapsed="false">
      <c r="B25" s="34" t="s">
        <v>202</v>
      </c>
      <c r="C25" s="34" t="s">
        <v>30</v>
      </c>
      <c r="D25" s="34" t="s">
        <v>148</v>
      </c>
      <c r="E25" s="34" t="s">
        <v>149</v>
      </c>
      <c r="F25" s="34" t="s">
        <v>33</v>
      </c>
      <c r="G25" s="34" t="s">
        <v>158</v>
      </c>
      <c r="H25" s="41" t="n">
        <v>48.434184</v>
      </c>
      <c r="I25" s="34" t="s">
        <v>151</v>
      </c>
      <c r="J25" s="34" t="s">
        <v>152</v>
      </c>
      <c r="K25" s="40" t="n">
        <v>10.25</v>
      </c>
      <c r="L25" s="37" t="n">
        <f aca="false">K25*(1+Assumptions!$C$6)</f>
        <v>10.378125</v>
      </c>
      <c r="M25" s="40" t="n">
        <v>0.22</v>
      </c>
      <c r="N25" s="37" t="s">
        <v>92</v>
      </c>
      <c r="O25" s="37" t="n">
        <f aca="false">IFERROR(VLOOKUP(N25,'Rate Buildups'!$B$6:$H$16,7,FALSE()),0)</f>
        <v>45.6481575</v>
      </c>
      <c r="P25" s="40" t="n">
        <v>1.25</v>
      </c>
      <c r="Q25" s="40" t="n">
        <v>0.75</v>
      </c>
      <c r="R25" s="37" t="n">
        <f aca="false">H25*L25</f>
        <v>502.656015825</v>
      </c>
      <c r="S25" s="37" t="n">
        <f aca="false">H25*M25*O25</f>
        <v>486.404877115516</v>
      </c>
      <c r="T25" s="37" t="n">
        <f aca="false">H25*P25*(1+Assumptions!$C$6)</f>
        <v>61.299514125</v>
      </c>
      <c r="U25" s="37" t="n">
        <f aca="false">H25*Q25*(1+Assumptions!$C$6)</f>
        <v>36.779708475</v>
      </c>
      <c r="V25" s="37" t="n">
        <f aca="false">SUM(R25:U25)</f>
        <v>1087.14011554052</v>
      </c>
      <c r="W25" s="37" t="n">
        <f aca="false">IFERROR(V25/H25,0)</f>
        <v>22.44571965</v>
      </c>
      <c r="X25" s="34" t="s">
        <v>153</v>
      </c>
      <c r="Y25" s="34" t="s">
        <v>152</v>
      </c>
      <c r="Z25" s="34" t="s">
        <v>154</v>
      </c>
    </row>
    <row r="26" customFormat="false" ht="37.5" hidden="false" customHeight="true" outlineLevel="0" collapsed="false">
      <c r="B26" s="30" t="s">
        <v>203</v>
      </c>
      <c r="C26" s="30" t="s">
        <v>30</v>
      </c>
      <c r="D26" s="30" t="s">
        <v>148</v>
      </c>
      <c r="E26" s="30" t="s">
        <v>149</v>
      </c>
      <c r="F26" s="30" t="s">
        <v>33</v>
      </c>
      <c r="G26" s="30" t="s">
        <v>160</v>
      </c>
      <c r="H26" s="39" t="n">
        <v>1.500325</v>
      </c>
      <c r="I26" s="30" t="s">
        <v>151</v>
      </c>
      <c r="J26" s="30" t="s">
        <v>152</v>
      </c>
      <c r="K26" s="40" t="n">
        <v>18.5</v>
      </c>
      <c r="L26" s="31" t="n">
        <f aca="false">K26*(1+Assumptions!$C$6)</f>
        <v>18.73125</v>
      </c>
      <c r="M26" s="40" t="n">
        <v>0.32</v>
      </c>
      <c r="N26" s="31" t="s">
        <v>92</v>
      </c>
      <c r="O26" s="31" t="n">
        <f aca="false">IFERROR(VLOOKUP(N26,'Rate Buildups'!$B$6:$H$16,7,FALSE()),0)</f>
        <v>45.6481575</v>
      </c>
      <c r="P26" s="40" t="n">
        <v>2</v>
      </c>
      <c r="Q26" s="40" t="n">
        <v>1</v>
      </c>
      <c r="R26" s="31" t="n">
        <f aca="false">H26*L26</f>
        <v>28.10296265625</v>
      </c>
      <c r="S26" s="31" t="n">
        <f aca="false">H26*M26*O26</f>
        <v>21.91586300838</v>
      </c>
      <c r="T26" s="31" t="n">
        <f aca="false">H26*P26*(1+Assumptions!$C$6)</f>
        <v>3.038158125</v>
      </c>
      <c r="U26" s="31" t="n">
        <f aca="false">H26*Q26*(1+Assumptions!$C$6)</f>
        <v>1.5190790625</v>
      </c>
      <c r="V26" s="31" t="n">
        <f aca="false">SUM(R26:U26)</f>
        <v>54.57606285213</v>
      </c>
      <c r="W26" s="31" t="n">
        <f aca="false">IFERROR(V26/H26,0)</f>
        <v>36.3761604</v>
      </c>
      <c r="X26" s="30" t="s">
        <v>153</v>
      </c>
      <c r="Y26" s="30" t="s">
        <v>152</v>
      </c>
      <c r="Z26" s="30" t="s">
        <v>154</v>
      </c>
    </row>
    <row r="27" customFormat="false" ht="37.5" hidden="false" customHeight="true" outlineLevel="0" collapsed="false">
      <c r="B27" s="34" t="s">
        <v>204</v>
      </c>
      <c r="C27" s="34" t="s">
        <v>30</v>
      </c>
      <c r="D27" s="34" t="s">
        <v>162</v>
      </c>
      <c r="E27" s="34" t="s">
        <v>163</v>
      </c>
      <c r="F27" s="34" t="s">
        <v>33</v>
      </c>
      <c r="G27" s="34" t="s">
        <v>164</v>
      </c>
      <c r="H27" s="41" t="n">
        <v>1</v>
      </c>
      <c r="I27" s="34" t="s">
        <v>165</v>
      </c>
      <c r="J27" s="34" t="s">
        <v>166</v>
      </c>
      <c r="K27" s="40" t="n">
        <v>250</v>
      </c>
      <c r="L27" s="37" t="n">
        <f aca="false">K27*(1+Assumptions!$C$6)</f>
        <v>253.125</v>
      </c>
      <c r="M27" s="40" t="n">
        <v>10</v>
      </c>
      <c r="N27" s="37" t="s">
        <v>92</v>
      </c>
      <c r="O27" s="37" t="n">
        <f aca="false">IFERROR(VLOOKUP(N27,'Rate Buildups'!$B$6:$H$16,7,FALSE()),0)</f>
        <v>45.6481575</v>
      </c>
      <c r="P27" s="40" t="n">
        <v>25</v>
      </c>
      <c r="Q27" s="40" t="n">
        <v>50</v>
      </c>
      <c r="R27" s="37" t="n">
        <f aca="false">H27*L27</f>
        <v>253.125</v>
      </c>
      <c r="S27" s="37" t="n">
        <f aca="false">H27*M27*O27</f>
        <v>456.481575</v>
      </c>
      <c r="T27" s="37" t="n">
        <f aca="false">H27*P27*(1+Assumptions!$C$6)</f>
        <v>25.3125</v>
      </c>
      <c r="U27" s="37" t="n">
        <f aca="false">H27*Q27*(1+Assumptions!$C$6)</f>
        <v>50.625</v>
      </c>
      <c r="V27" s="37" t="n">
        <f aca="false">SUM(R27:U27)</f>
        <v>785.544075</v>
      </c>
      <c r="W27" s="37" t="n">
        <f aca="false">IFERROR(V27/H27,0)</f>
        <v>785.544075</v>
      </c>
      <c r="X27" s="34" t="s">
        <v>153</v>
      </c>
      <c r="Y27" s="34" t="s">
        <v>166</v>
      </c>
      <c r="Z27" s="34" t="s">
        <v>167</v>
      </c>
    </row>
    <row r="28" customFormat="false" ht="37.5" hidden="false" customHeight="true" outlineLevel="0" collapsed="false">
      <c r="B28" s="30" t="s">
        <v>205</v>
      </c>
      <c r="C28" s="30" t="s">
        <v>30</v>
      </c>
      <c r="D28" s="30" t="s">
        <v>162</v>
      </c>
      <c r="E28" s="30" t="s">
        <v>163</v>
      </c>
      <c r="F28" s="30" t="s">
        <v>33</v>
      </c>
      <c r="G28" s="30" t="s">
        <v>169</v>
      </c>
      <c r="H28" s="39" t="n">
        <v>2</v>
      </c>
      <c r="I28" s="30" t="s">
        <v>165</v>
      </c>
      <c r="J28" s="30" t="s">
        <v>166</v>
      </c>
      <c r="K28" s="40" t="n">
        <v>180</v>
      </c>
      <c r="L28" s="31" t="n">
        <f aca="false">K28*(1+Assumptions!$C$6)</f>
        <v>182.25</v>
      </c>
      <c r="M28" s="40" t="n">
        <v>8</v>
      </c>
      <c r="N28" s="31" t="s">
        <v>92</v>
      </c>
      <c r="O28" s="31" t="n">
        <f aca="false">IFERROR(VLOOKUP(N28,'Rate Buildups'!$B$6:$H$16,7,FALSE()),0)</f>
        <v>45.6481575</v>
      </c>
      <c r="P28" s="40" t="n">
        <v>10</v>
      </c>
      <c r="Q28" s="40" t="n">
        <v>25</v>
      </c>
      <c r="R28" s="31" t="n">
        <f aca="false">H28*L28</f>
        <v>364.5</v>
      </c>
      <c r="S28" s="31" t="n">
        <f aca="false">H28*M28*O28</f>
        <v>730.37052</v>
      </c>
      <c r="T28" s="31" t="n">
        <f aca="false">H28*P28*(1+Assumptions!$C$6)</f>
        <v>20.25</v>
      </c>
      <c r="U28" s="31" t="n">
        <f aca="false">H28*Q28*(1+Assumptions!$C$6)</f>
        <v>50.625</v>
      </c>
      <c r="V28" s="31" t="n">
        <f aca="false">SUM(R28:U28)</f>
        <v>1165.74552</v>
      </c>
      <c r="W28" s="31" t="n">
        <f aca="false">IFERROR(V28/H28,0)</f>
        <v>582.87276</v>
      </c>
      <c r="X28" s="30" t="s">
        <v>153</v>
      </c>
      <c r="Y28" s="30" t="s">
        <v>166</v>
      </c>
      <c r="Z28" s="30" t="s">
        <v>167</v>
      </c>
    </row>
    <row r="29" customFormat="false" ht="37.5" hidden="false" customHeight="true" outlineLevel="0" collapsed="false">
      <c r="B29" s="34" t="s">
        <v>206</v>
      </c>
      <c r="C29" s="34" t="s">
        <v>30</v>
      </c>
      <c r="D29" s="34" t="s">
        <v>162</v>
      </c>
      <c r="E29" s="34" t="s">
        <v>163</v>
      </c>
      <c r="F29" s="34" t="s">
        <v>33</v>
      </c>
      <c r="G29" s="34" t="s">
        <v>171</v>
      </c>
      <c r="H29" s="41" t="n">
        <v>1</v>
      </c>
      <c r="I29" s="34" t="s">
        <v>165</v>
      </c>
      <c r="J29" s="34" t="s">
        <v>166</v>
      </c>
      <c r="K29" s="40" t="n">
        <v>120</v>
      </c>
      <c r="L29" s="37" t="n">
        <f aca="false">K29*(1+Assumptions!$C$6)</f>
        <v>121.5</v>
      </c>
      <c r="M29" s="40" t="n">
        <v>14</v>
      </c>
      <c r="N29" s="37" t="s">
        <v>92</v>
      </c>
      <c r="O29" s="37" t="n">
        <f aca="false">IFERROR(VLOOKUP(N29,'Rate Buildups'!$B$6:$H$16,7,FALSE()),0)</f>
        <v>45.6481575</v>
      </c>
      <c r="P29" s="40" t="n">
        <v>15</v>
      </c>
      <c r="Q29" s="40" t="n">
        <v>40</v>
      </c>
      <c r="R29" s="37" t="n">
        <f aca="false">H29*L29</f>
        <v>121.5</v>
      </c>
      <c r="S29" s="37" t="n">
        <f aca="false">H29*M29*O29</f>
        <v>639.074205</v>
      </c>
      <c r="T29" s="37" t="n">
        <f aca="false">H29*P29*(1+Assumptions!$C$6)</f>
        <v>15.1875</v>
      </c>
      <c r="U29" s="37" t="n">
        <f aca="false">H29*Q29*(1+Assumptions!$C$6)</f>
        <v>40.5</v>
      </c>
      <c r="V29" s="37" t="n">
        <f aca="false">SUM(R29:U29)</f>
        <v>816.261705</v>
      </c>
      <c r="W29" s="37" t="n">
        <f aca="false">IFERROR(V29/H29,0)</f>
        <v>816.261705</v>
      </c>
      <c r="X29" s="34" t="s">
        <v>153</v>
      </c>
      <c r="Y29" s="34" t="s">
        <v>166</v>
      </c>
      <c r="Z29" s="34" t="s">
        <v>167</v>
      </c>
    </row>
    <row r="30" customFormat="false" ht="37.5" hidden="false" customHeight="true" outlineLevel="0" collapsed="false">
      <c r="B30" s="30" t="s">
        <v>207</v>
      </c>
      <c r="C30" s="30" t="s">
        <v>30</v>
      </c>
      <c r="D30" s="30" t="s">
        <v>162</v>
      </c>
      <c r="E30" s="30" t="s">
        <v>163</v>
      </c>
      <c r="F30" s="30" t="s">
        <v>33</v>
      </c>
      <c r="G30" s="30" t="s">
        <v>173</v>
      </c>
      <c r="H30" s="39" t="n">
        <v>1</v>
      </c>
      <c r="I30" s="30" t="s">
        <v>165</v>
      </c>
      <c r="J30" s="30" t="s">
        <v>166</v>
      </c>
      <c r="K30" s="40" t="n">
        <v>150</v>
      </c>
      <c r="L30" s="31" t="n">
        <f aca="false">K30*(1+Assumptions!$C$6)</f>
        <v>151.875</v>
      </c>
      <c r="M30" s="40" t="n">
        <v>16</v>
      </c>
      <c r="N30" s="31" t="s">
        <v>92</v>
      </c>
      <c r="O30" s="31" t="n">
        <f aca="false">IFERROR(VLOOKUP(N30,'Rate Buildups'!$B$6:$H$16,7,FALSE()),0)</f>
        <v>45.6481575</v>
      </c>
      <c r="P30" s="40" t="n">
        <v>15</v>
      </c>
      <c r="Q30" s="40" t="n">
        <v>40</v>
      </c>
      <c r="R30" s="31" t="n">
        <f aca="false">H30*L30</f>
        <v>151.875</v>
      </c>
      <c r="S30" s="31" t="n">
        <f aca="false">H30*M30*O30</f>
        <v>730.37052</v>
      </c>
      <c r="T30" s="31" t="n">
        <f aca="false">H30*P30*(1+Assumptions!$C$6)</f>
        <v>15.1875</v>
      </c>
      <c r="U30" s="31" t="n">
        <f aca="false">H30*Q30*(1+Assumptions!$C$6)</f>
        <v>40.5</v>
      </c>
      <c r="V30" s="31" t="n">
        <f aca="false">SUM(R30:U30)</f>
        <v>937.93302</v>
      </c>
      <c r="W30" s="31" t="n">
        <f aca="false">IFERROR(V30/H30,0)</f>
        <v>937.93302</v>
      </c>
      <c r="X30" s="30" t="s">
        <v>153</v>
      </c>
      <c r="Y30" s="30" t="s">
        <v>166</v>
      </c>
      <c r="Z30" s="30" t="s">
        <v>167</v>
      </c>
    </row>
    <row r="31" customFormat="false" ht="37.5" hidden="false" customHeight="true" outlineLevel="0" collapsed="false">
      <c r="B31" s="34" t="s">
        <v>208</v>
      </c>
      <c r="C31" s="34" t="s">
        <v>30</v>
      </c>
      <c r="D31" s="34" t="s">
        <v>162</v>
      </c>
      <c r="E31" s="34" t="s">
        <v>163</v>
      </c>
      <c r="F31" s="34" t="s">
        <v>33</v>
      </c>
      <c r="G31" s="34" t="s">
        <v>175</v>
      </c>
      <c r="H31" s="41" t="n">
        <v>2</v>
      </c>
      <c r="I31" s="34" t="s">
        <v>165</v>
      </c>
      <c r="J31" s="34" t="s">
        <v>166</v>
      </c>
      <c r="K31" s="40" t="n">
        <v>90</v>
      </c>
      <c r="L31" s="37" t="n">
        <f aca="false">K31*(1+Assumptions!$C$6)</f>
        <v>91.125</v>
      </c>
      <c r="M31" s="40" t="n">
        <v>5</v>
      </c>
      <c r="N31" s="37" t="s">
        <v>92</v>
      </c>
      <c r="O31" s="37" t="n">
        <f aca="false">IFERROR(VLOOKUP(N31,'Rate Buildups'!$B$6:$H$16,7,FALSE()),0)</f>
        <v>45.6481575</v>
      </c>
      <c r="P31" s="40" t="n">
        <v>5</v>
      </c>
      <c r="Q31" s="40" t="n">
        <v>20</v>
      </c>
      <c r="R31" s="37" t="n">
        <f aca="false">H31*L31</f>
        <v>182.25</v>
      </c>
      <c r="S31" s="37" t="n">
        <f aca="false">H31*M31*O31</f>
        <v>456.481575</v>
      </c>
      <c r="T31" s="37" t="n">
        <f aca="false">H31*P31*(1+Assumptions!$C$6)</f>
        <v>10.125</v>
      </c>
      <c r="U31" s="37" t="n">
        <f aca="false">H31*Q31*(1+Assumptions!$C$6)</f>
        <v>40.5</v>
      </c>
      <c r="V31" s="37" t="n">
        <f aca="false">SUM(R31:U31)</f>
        <v>689.356575</v>
      </c>
      <c r="W31" s="37" t="n">
        <f aca="false">IFERROR(V31/H31,0)</f>
        <v>344.6782875</v>
      </c>
      <c r="X31" s="34" t="s">
        <v>153</v>
      </c>
      <c r="Y31" s="34" t="s">
        <v>166</v>
      </c>
      <c r="Z31" s="34" t="s">
        <v>167</v>
      </c>
    </row>
    <row r="32" customFormat="false" ht="37.5" hidden="false" customHeight="true" outlineLevel="0" collapsed="false">
      <c r="B32" s="30" t="s">
        <v>209</v>
      </c>
      <c r="C32" s="30" t="s">
        <v>30</v>
      </c>
      <c r="D32" s="30" t="s">
        <v>162</v>
      </c>
      <c r="E32" s="30" t="s">
        <v>163</v>
      </c>
      <c r="F32" s="30" t="s">
        <v>33</v>
      </c>
      <c r="G32" s="30" t="s">
        <v>177</v>
      </c>
      <c r="H32" s="39" t="n">
        <v>1</v>
      </c>
      <c r="I32" s="30" t="s">
        <v>165</v>
      </c>
      <c r="J32" s="30" t="s">
        <v>166</v>
      </c>
      <c r="K32" s="40" t="n">
        <v>25</v>
      </c>
      <c r="L32" s="31" t="n">
        <f aca="false">K32*(1+Assumptions!$C$6)</f>
        <v>25.3125</v>
      </c>
      <c r="M32" s="40" t="n">
        <v>2</v>
      </c>
      <c r="N32" s="31" t="s">
        <v>98</v>
      </c>
      <c r="O32" s="31" t="n">
        <f aca="false">IFERROR(VLOOKUP(N32,'Rate Buildups'!$B$6:$H$16,7,FALSE()),0)</f>
        <v>39.639375</v>
      </c>
      <c r="P32" s="40" t="n">
        <v>5</v>
      </c>
      <c r="Q32" s="40" t="n">
        <v>10</v>
      </c>
      <c r="R32" s="31" t="n">
        <f aca="false">H32*L32</f>
        <v>25.3125</v>
      </c>
      <c r="S32" s="31" t="n">
        <f aca="false">H32*M32*O32</f>
        <v>79.27875</v>
      </c>
      <c r="T32" s="31" t="n">
        <f aca="false">H32*P32*(1+Assumptions!$C$6)</f>
        <v>5.0625</v>
      </c>
      <c r="U32" s="31" t="n">
        <f aca="false">H32*Q32*(1+Assumptions!$C$6)</f>
        <v>10.125</v>
      </c>
      <c r="V32" s="31" t="n">
        <f aca="false">SUM(R32:U32)</f>
        <v>119.77875</v>
      </c>
      <c r="W32" s="31" t="n">
        <f aca="false">IFERROR(V32/H32,0)</f>
        <v>119.77875</v>
      </c>
      <c r="X32" s="30" t="s">
        <v>153</v>
      </c>
      <c r="Y32" s="30" t="s">
        <v>166</v>
      </c>
      <c r="Z32" s="30" t="s">
        <v>167</v>
      </c>
    </row>
    <row r="33" customFormat="false" ht="37.5" hidden="false" customHeight="true" outlineLevel="0" collapsed="false">
      <c r="B33" s="34" t="s">
        <v>210</v>
      </c>
      <c r="C33" s="34" t="s">
        <v>30</v>
      </c>
      <c r="D33" s="34" t="s">
        <v>162</v>
      </c>
      <c r="E33" s="34" t="s">
        <v>163</v>
      </c>
      <c r="F33" s="34" t="s">
        <v>33</v>
      </c>
      <c r="G33" s="34" t="s">
        <v>179</v>
      </c>
      <c r="H33" s="41" t="n">
        <v>1</v>
      </c>
      <c r="I33" s="34" t="s">
        <v>165</v>
      </c>
      <c r="J33" s="34" t="s">
        <v>166</v>
      </c>
      <c r="K33" s="40" t="n">
        <v>15</v>
      </c>
      <c r="L33" s="37" t="n">
        <f aca="false">K33*(1+Assumptions!$C$6)</f>
        <v>15.1875</v>
      </c>
      <c r="M33" s="40" t="n">
        <v>2</v>
      </c>
      <c r="N33" s="37" t="s">
        <v>98</v>
      </c>
      <c r="O33" s="37" t="n">
        <f aca="false">IFERROR(VLOOKUP(N33,'Rate Buildups'!$B$6:$H$16,7,FALSE()),0)</f>
        <v>39.639375</v>
      </c>
      <c r="P33" s="40" t="n">
        <v>5</v>
      </c>
      <c r="Q33" s="40" t="n">
        <v>10</v>
      </c>
      <c r="R33" s="37" t="n">
        <f aca="false">H33*L33</f>
        <v>15.1875</v>
      </c>
      <c r="S33" s="37" t="n">
        <f aca="false">H33*M33*O33</f>
        <v>79.27875</v>
      </c>
      <c r="T33" s="37" t="n">
        <f aca="false">H33*P33*(1+Assumptions!$C$6)</f>
        <v>5.0625</v>
      </c>
      <c r="U33" s="37" t="n">
        <f aca="false">H33*Q33*(1+Assumptions!$C$6)</f>
        <v>10.125</v>
      </c>
      <c r="V33" s="37" t="n">
        <f aca="false">SUM(R33:U33)</f>
        <v>109.65375</v>
      </c>
      <c r="W33" s="37" t="n">
        <f aca="false">IFERROR(V33/H33,0)</f>
        <v>109.65375</v>
      </c>
      <c r="X33" s="34" t="s">
        <v>153</v>
      </c>
      <c r="Y33" s="34" t="s">
        <v>166</v>
      </c>
      <c r="Z33" s="34" t="s">
        <v>167</v>
      </c>
    </row>
    <row r="34" customFormat="false" ht="37.5" hidden="false" customHeight="true" outlineLevel="0" collapsed="false">
      <c r="B34" s="30" t="s">
        <v>211</v>
      </c>
      <c r="C34" s="30" t="s">
        <v>30</v>
      </c>
      <c r="D34" s="30" t="s">
        <v>148</v>
      </c>
      <c r="E34" s="30" t="s">
        <v>181</v>
      </c>
      <c r="F34" s="30" t="s">
        <v>33</v>
      </c>
      <c r="G34" s="30" t="s">
        <v>182</v>
      </c>
      <c r="H34" s="39" t="n">
        <v>3</v>
      </c>
      <c r="I34" s="30" t="s">
        <v>165</v>
      </c>
      <c r="J34" s="30" t="s">
        <v>183</v>
      </c>
      <c r="K34" s="40" t="n">
        <v>85</v>
      </c>
      <c r="L34" s="31" t="n">
        <f aca="false">K34*(1+Assumptions!$C$6)</f>
        <v>86.0625</v>
      </c>
      <c r="M34" s="40" t="n">
        <v>2.5</v>
      </c>
      <c r="N34" s="31" t="s">
        <v>92</v>
      </c>
      <c r="O34" s="31" t="n">
        <f aca="false">IFERROR(VLOOKUP(N34,'Rate Buildups'!$B$6:$H$16,7,FALSE()),0)</f>
        <v>45.6481575</v>
      </c>
      <c r="P34" s="40" t="n">
        <v>5</v>
      </c>
      <c r="Q34" s="40" t="n">
        <v>10</v>
      </c>
      <c r="R34" s="31" t="n">
        <f aca="false">H34*L34</f>
        <v>258.1875</v>
      </c>
      <c r="S34" s="31" t="n">
        <f aca="false">H34*M34*O34</f>
        <v>342.36118125</v>
      </c>
      <c r="T34" s="31" t="n">
        <f aca="false">H34*P34*(1+Assumptions!$C$6)</f>
        <v>15.1875</v>
      </c>
      <c r="U34" s="31" t="n">
        <f aca="false">H34*Q34*(1+Assumptions!$C$6)</f>
        <v>30.375</v>
      </c>
      <c r="V34" s="31" t="n">
        <f aca="false">SUM(R34:U34)</f>
        <v>646.11118125</v>
      </c>
      <c r="W34" s="31" t="n">
        <f aca="false">IFERROR(V34/H34,0)</f>
        <v>215.37039375</v>
      </c>
      <c r="X34" s="30" t="s">
        <v>153</v>
      </c>
      <c r="Y34" s="30" t="s">
        <v>183</v>
      </c>
      <c r="Z34" s="30" t="s">
        <v>184</v>
      </c>
    </row>
    <row r="35" customFormat="false" ht="37.5" hidden="false" customHeight="true" outlineLevel="0" collapsed="false">
      <c r="B35" s="34" t="s">
        <v>212</v>
      </c>
      <c r="C35" s="34" t="s">
        <v>30</v>
      </c>
      <c r="D35" s="34" t="s">
        <v>148</v>
      </c>
      <c r="E35" s="34" t="s">
        <v>181</v>
      </c>
      <c r="F35" s="34" t="s">
        <v>33</v>
      </c>
      <c r="G35" s="34" t="s">
        <v>186</v>
      </c>
      <c r="H35" s="41" t="n">
        <v>3</v>
      </c>
      <c r="I35" s="34" t="s">
        <v>165</v>
      </c>
      <c r="J35" s="34" t="s">
        <v>183</v>
      </c>
      <c r="K35" s="40" t="n">
        <v>160</v>
      </c>
      <c r="L35" s="37" t="n">
        <f aca="false">K35*(1+Assumptions!$C$6)</f>
        <v>162</v>
      </c>
      <c r="M35" s="40" t="n">
        <v>6</v>
      </c>
      <c r="N35" s="37" t="s">
        <v>92</v>
      </c>
      <c r="O35" s="37" t="n">
        <f aca="false">IFERROR(VLOOKUP(N35,'Rate Buildups'!$B$6:$H$16,7,FALSE()),0)</f>
        <v>45.6481575</v>
      </c>
      <c r="P35" s="40" t="n">
        <v>10</v>
      </c>
      <c r="Q35" s="40" t="n">
        <v>20</v>
      </c>
      <c r="R35" s="37" t="n">
        <f aca="false">H35*L35</f>
        <v>486</v>
      </c>
      <c r="S35" s="37" t="n">
        <f aca="false">H35*M35*O35</f>
        <v>821.666835</v>
      </c>
      <c r="T35" s="37" t="n">
        <f aca="false">H35*P35*(1+Assumptions!$C$6)</f>
        <v>30.375</v>
      </c>
      <c r="U35" s="37" t="n">
        <f aca="false">H35*Q35*(1+Assumptions!$C$6)</f>
        <v>60.75</v>
      </c>
      <c r="V35" s="37" t="n">
        <f aca="false">SUM(R35:U35)</f>
        <v>1398.791835</v>
      </c>
      <c r="W35" s="37" t="n">
        <f aca="false">IFERROR(V35/H35,0)</f>
        <v>466.263945</v>
      </c>
      <c r="X35" s="34" t="s">
        <v>153</v>
      </c>
      <c r="Y35" s="34" t="s">
        <v>183</v>
      </c>
      <c r="Z35" s="34" t="s">
        <v>184</v>
      </c>
    </row>
    <row r="36" customFormat="false" ht="37.5" hidden="false" customHeight="true" outlineLevel="0" collapsed="false">
      <c r="B36" s="30" t="s">
        <v>213</v>
      </c>
      <c r="C36" s="30" t="s">
        <v>30</v>
      </c>
      <c r="D36" s="30" t="s">
        <v>148</v>
      </c>
      <c r="E36" s="30" t="s">
        <v>181</v>
      </c>
      <c r="F36" s="30" t="s">
        <v>33</v>
      </c>
      <c r="G36" s="30" t="s">
        <v>188</v>
      </c>
      <c r="H36" s="39" t="n">
        <v>1</v>
      </c>
      <c r="I36" s="30" t="s">
        <v>165</v>
      </c>
      <c r="J36" s="30" t="s">
        <v>183</v>
      </c>
      <c r="K36" s="40" t="n">
        <v>75</v>
      </c>
      <c r="L36" s="31" t="n">
        <f aca="false">K36*(1+Assumptions!$C$6)</f>
        <v>75.9375</v>
      </c>
      <c r="M36" s="40" t="n">
        <v>2</v>
      </c>
      <c r="N36" s="31" t="s">
        <v>92</v>
      </c>
      <c r="O36" s="31" t="n">
        <f aca="false">IFERROR(VLOOKUP(N36,'Rate Buildups'!$B$6:$H$16,7,FALSE()),0)</f>
        <v>45.6481575</v>
      </c>
      <c r="P36" s="40" t="n">
        <v>5</v>
      </c>
      <c r="Q36" s="40" t="n">
        <v>10</v>
      </c>
      <c r="R36" s="31" t="n">
        <f aca="false">H36*L36</f>
        <v>75.9375</v>
      </c>
      <c r="S36" s="31" t="n">
        <f aca="false">H36*M36*O36</f>
        <v>91.296315</v>
      </c>
      <c r="T36" s="31" t="n">
        <f aca="false">H36*P36*(1+Assumptions!$C$6)</f>
        <v>5.0625</v>
      </c>
      <c r="U36" s="31" t="n">
        <f aca="false">H36*Q36*(1+Assumptions!$C$6)</f>
        <v>10.125</v>
      </c>
      <c r="V36" s="31" t="n">
        <f aca="false">SUM(R36:U36)</f>
        <v>182.421315</v>
      </c>
      <c r="W36" s="31" t="n">
        <f aca="false">IFERROR(V36/H36,0)</f>
        <v>182.421315</v>
      </c>
      <c r="X36" s="30" t="s">
        <v>153</v>
      </c>
      <c r="Y36" s="30" t="s">
        <v>183</v>
      </c>
      <c r="Z36" s="30" t="s">
        <v>184</v>
      </c>
    </row>
    <row r="37" customFormat="false" ht="37.5" hidden="false" customHeight="true" outlineLevel="0" collapsed="false">
      <c r="B37" s="34" t="s">
        <v>214</v>
      </c>
      <c r="C37" s="34" t="s">
        <v>30</v>
      </c>
      <c r="D37" s="34" t="s">
        <v>148</v>
      </c>
      <c r="E37" s="34" t="s">
        <v>181</v>
      </c>
      <c r="F37" s="34" t="s">
        <v>33</v>
      </c>
      <c r="G37" s="34" t="s">
        <v>190</v>
      </c>
      <c r="H37" s="41" t="n">
        <v>1</v>
      </c>
      <c r="I37" s="34" t="s">
        <v>165</v>
      </c>
      <c r="J37" s="34" t="s">
        <v>183</v>
      </c>
      <c r="K37" s="40" t="n">
        <v>220</v>
      </c>
      <c r="L37" s="37" t="n">
        <f aca="false">K37*(1+Assumptions!$C$6)</f>
        <v>222.75</v>
      </c>
      <c r="M37" s="40" t="n">
        <v>5</v>
      </c>
      <c r="N37" s="37" t="s">
        <v>92</v>
      </c>
      <c r="O37" s="37" t="n">
        <f aca="false">IFERROR(VLOOKUP(N37,'Rate Buildups'!$B$6:$H$16,7,FALSE()),0)</f>
        <v>45.6481575</v>
      </c>
      <c r="P37" s="40" t="n">
        <v>45</v>
      </c>
      <c r="Q37" s="40" t="n">
        <v>25</v>
      </c>
      <c r="R37" s="37" t="n">
        <f aca="false">H37*L37</f>
        <v>222.75</v>
      </c>
      <c r="S37" s="37" t="n">
        <f aca="false">H37*M37*O37</f>
        <v>228.2407875</v>
      </c>
      <c r="T37" s="37" t="n">
        <f aca="false">H37*P37*(1+Assumptions!$C$6)</f>
        <v>45.5625</v>
      </c>
      <c r="U37" s="37" t="n">
        <f aca="false">H37*Q37*(1+Assumptions!$C$6)</f>
        <v>25.3125</v>
      </c>
      <c r="V37" s="37" t="n">
        <f aca="false">SUM(R37:U37)</f>
        <v>521.8657875</v>
      </c>
      <c r="W37" s="37" t="n">
        <f aca="false">IFERROR(V37/H37,0)</f>
        <v>521.8657875</v>
      </c>
      <c r="X37" s="34" t="s">
        <v>153</v>
      </c>
      <c r="Y37" s="34" t="s">
        <v>183</v>
      </c>
      <c r="Z37" s="34" t="s">
        <v>184</v>
      </c>
    </row>
    <row r="38" customFormat="false" ht="37.5" hidden="false" customHeight="true" outlineLevel="0" collapsed="false">
      <c r="B38" s="30" t="s">
        <v>215</v>
      </c>
      <c r="C38" s="30" t="s">
        <v>30</v>
      </c>
      <c r="D38" s="30" t="s">
        <v>148</v>
      </c>
      <c r="E38" s="30" t="s">
        <v>181</v>
      </c>
      <c r="F38" s="30" t="s">
        <v>33</v>
      </c>
      <c r="G38" s="30" t="s">
        <v>192</v>
      </c>
      <c r="H38" s="39" t="n">
        <v>1</v>
      </c>
      <c r="I38" s="30" t="s">
        <v>165</v>
      </c>
      <c r="J38" s="30" t="s">
        <v>183</v>
      </c>
      <c r="K38" s="40" t="n">
        <v>45</v>
      </c>
      <c r="L38" s="31" t="n">
        <f aca="false">K38*(1+Assumptions!$C$6)</f>
        <v>45.5625</v>
      </c>
      <c r="M38" s="40" t="n">
        <v>1.5</v>
      </c>
      <c r="N38" s="31" t="s">
        <v>92</v>
      </c>
      <c r="O38" s="31" t="n">
        <f aca="false">IFERROR(VLOOKUP(N38,'Rate Buildups'!$B$6:$H$16,7,FALSE()),0)</f>
        <v>45.6481575</v>
      </c>
      <c r="P38" s="40" t="n">
        <v>0</v>
      </c>
      <c r="Q38" s="40" t="n">
        <v>5</v>
      </c>
      <c r="R38" s="31" t="n">
        <f aca="false">H38*L38</f>
        <v>45.5625</v>
      </c>
      <c r="S38" s="31" t="n">
        <f aca="false">H38*M38*O38</f>
        <v>68.47223625</v>
      </c>
      <c r="T38" s="31" t="n">
        <f aca="false">H38*P38*(1+Assumptions!$C$6)</f>
        <v>0</v>
      </c>
      <c r="U38" s="31" t="n">
        <f aca="false">H38*Q38*(1+Assumptions!$C$6)</f>
        <v>5.0625</v>
      </c>
      <c r="V38" s="31" t="n">
        <f aca="false">SUM(R38:U38)</f>
        <v>119.09723625</v>
      </c>
      <c r="W38" s="31" t="n">
        <f aca="false">IFERROR(V38/H38,0)</f>
        <v>119.09723625</v>
      </c>
      <c r="X38" s="30" t="s">
        <v>153</v>
      </c>
      <c r="Y38" s="30" t="s">
        <v>183</v>
      </c>
      <c r="Z38" s="30" t="s">
        <v>184</v>
      </c>
    </row>
    <row r="39" customFormat="false" ht="37.5" hidden="false" customHeight="true" outlineLevel="0" collapsed="false">
      <c r="B39" s="34" t="s">
        <v>216</v>
      </c>
      <c r="C39" s="34" t="s">
        <v>32</v>
      </c>
      <c r="D39" s="34" t="s">
        <v>148</v>
      </c>
      <c r="E39" s="34" t="s">
        <v>194</v>
      </c>
      <c r="F39" s="34" t="s">
        <v>33</v>
      </c>
      <c r="G39" s="34" t="s">
        <v>195</v>
      </c>
      <c r="H39" s="41" t="n">
        <v>1</v>
      </c>
      <c r="I39" s="34" t="s">
        <v>196</v>
      </c>
      <c r="J39" s="34" t="s">
        <v>197</v>
      </c>
      <c r="K39" s="40" t="n">
        <v>25</v>
      </c>
      <c r="L39" s="37" t="n">
        <f aca="false">K39*(1+Assumptions!$C$6)</f>
        <v>25.3125</v>
      </c>
      <c r="M39" s="40" t="n">
        <v>4</v>
      </c>
      <c r="N39" s="37" t="s">
        <v>92</v>
      </c>
      <c r="O39" s="37" t="n">
        <f aca="false">IFERROR(VLOOKUP(N39,'Rate Buildups'!$B$6:$H$16,7,FALSE()),0)</f>
        <v>45.6481575</v>
      </c>
      <c r="P39" s="40" t="n">
        <v>20</v>
      </c>
      <c r="Q39" s="40" t="n">
        <v>75</v>
      </c>
      <c r="R39" s="37" t="n">
        <f aca="false">H39*L39</f>
        <v>25.3125</v>
      </c>
      <c r="S39" s="37" t="n">
        <f aca="false">H39*M39*O39</f>
        <v>182.59263</v>
      </c>
      <c r="T39" s="37" t="n">
        <f aca="false">H39*P39*(1+Assumptions!$C$6)</f>
        <v>20.25</v>
      </c>
      <c r="U39" s="37" t="n">
        <f aca="false">H39*Q39*(1+Assumptions!$C$6)</f>
        <v>75.9375</v>
      </c>
      <c r="V39" s="37" t="n">
        <f aca="false">SUM(R39:U39)</f>
        <v>304.09263</v>
      </c>
      <c r="W39" s="37" t="n">
        <f aca="false">IFERROR(V39/H39,0)</f>
        <v>304.09263</v>
      </c>
      <c r="X39" s="34" t="s">
        <v>153</v>
      </c>
      <c r="Y39" s="34" t="s">
        <v>198</v>
      </c>
      <c r="Z39" s="34" t="s">
        <v>199</v>
      </c>
    </row>
    <row r="40" customFormat="false" ht="37.5" hidden="false" customHeight="true" outlineLevel="0" collapsed="false">
      <c r="B40" s="30" t="s">
        <v>217</v>
      </c>
      <c r="C40" s="30" t="s">
        <v>30</v>
      </c>
      <c r="D40" s="30" t="s">
        <v>148</v>
      </c>
      <c r="E40" s="30" t="s">
        <v>149</v>
      </c>
      <c r="F40" s="30" t="s">
        <v>35</v>
      </c>
      <c r="G40" s="30" t="s">
        <v>150</v>
      </c>
      <c r="H40" s="39" t="n">
        <v>15.636944</v>
      </c>
      <c r="I40" s="30" t="s">
        <v>151</v>
      </c>
      <c r="J40" s="30" t="s">
        <v>152</v>
      </c>
      <c r="K40" s="40" t="n">
        <v>5.2</v>
      </c>
      <c r="L40" s="31" t="n">
        <f aca="false">K40*(1+Assumptions!$C$6)</f>
        <v>5.265</v>
      </c>
      <c r="M40" s="40" t="n">
        <v>0.16</v>
      </c>
      <c r="N40" s="31" t="s">
        <v>92</v>
      </c>
      <c r="O40" s="31" t="n">
        <f aca="false">IFERROR(VLOOKUP(N40,'Rate Buildups'!$B$6:$H$16,7,FALSE()),0)</f>
        <v>45.6481575</v>
      </c>
      <c r="P40" s="40" t="n">
        <v>0.75</v>
      </c>
      <c r="Q40" s="40" t="n">
        <v>0.5</v>
      </c>
      <c r="R40" s="31" t="n">
        <f aca="false">H40*L40</f>
        <v>82.32851016</v>
      </c>
      <c r="S40" s="31" t="n">
        <f aca="false">H40*M40*O40</f>
        <v>114.207629204909</v>
      </c>
      <c r="T40" s="31" t="n">
        <f aca="false">H40*P40*(1+Assumptions!$C$6)</f>
        <v>11.87430435</v>
      </c>
      <c r="U40" s="31" t="n">
        <f aca="false">H40*Q40*(1+Assumptions!$C$6)</f>
        <v>7.9162029</v>
      </c>
      <c r="V40" s="31" t="n">
        <f aca="false">SUM(R40:U40)</f>
        <v>216.326646614909</v>
      </c>
      <c r="W40" s="31" t="n">
        <f aca="false">IFERROR(V40/H40,0)</f>
        <v>13.8343302</v>
      </c>
      <c r="X40" s="30" t="s">
        <v>153</v>
      </c>
      <c r="Y40" s="30" t="s">
        <v>152</v>
      </c>
      <c r="Z40" s="30" t="s">
        <v>154</v>
      </c>
    </row>
    <row r="41" customFormat="false" ht="37.5" hidden="false" customHeight="true" outlineLevel="0" collapsed="false">
      <c r="B41" s="34" t="s">
        <v>218</v>
      </c>
      <c r="C41" s="34" t="s">
        <v>30</v>
      </c>
      <c r="D41" s="34" t="s">
        <v>148</v>
      </c>
      <c r="E41" s="34" t="s">
        <v>149</v>
      </c>
      <c r="F41" s="34" t="s">
        <v>35</v>
      </c>
      <c r="G41" s="34" t="s">
        <v>156</v>
      </c>
      <c r="H41" s="41" t="n">
        <v>13.889694</v>
      </c>
      <c r="I41" s="34" t="s">
        <v>151</v>
      </c>
      <c r="J41" s="34" t="s">
        <v>152</v>
      </c>
      <c r="K41" s="40" t="n">
        <v>7.4</v>
      </c>
      <c r="L41" s="37" t="n">
        <f aca="false">K41*(1+Assumptions!$C$6)</f>
        <v>7.4925</v>
      </c>
      <c r="M41" s="40" t="n">
        <v>0.18</v>
      </c>
      <c r="N41" s="37" t="s">
        <v>92</v>
      </c>
      <c r="O41" s="37" t="n">
        <f aca="false">IFERROR(VLOOKUP(N41,'Rate Buildups'!$B$6:$H$16,7,FALSE()),0)</f>
        <v>45.6481575</v>
      </c>
      <c r="P41" s="40" t="n">
        <v>1</v>
      </c>
      <c r="Q41" s="40" t="n">
        <v>0.5</v>
      </c>
      <c r="R41" s="37" t="n">
        <f aca="false">H41*L41</f>
        <v>104.068532295</v>
      </c>
      <c r="S41" s="37" t="n">
        <f aca="false">H41*M41*O41</f>
        <v>114.127009080985</v>
      </c>
      <c r="T41" s="37" t="n">
        <f aca="false">H41*P41*(1+Assumptions!$C$6)</f>
        <v>14.063315175</v>
      </c>
      <c r="U41" s="37" t="n">
        <f aca="false">H41*Q41*(1+Assumptions!$C$6)</f>
        <v>7.0316575875</v>
      </c>
      <c r="V41" s="37" t="n">
        <f aca="false">SUM(R41:U41)</f>
        <v>239.290514138485</v>
      </c>
      <c r="W41" s="37" t="n">
        <f aca="false">IFERROR(V41/H41,0)</f>
        <v>17.22791835</v>
      </c>
      <c r="X41" s="34" t="s">
        <v>153</v>
      </c>
      <c r="Y41" s="34" t="s">
        <v>152</v>
      </c>
      <c r="Z41" s="34" t="s">
        <v>154</v>
      </c>
    </row>
    <row r="42" customFormat="false" ht="37.5" hidden="false" customHeight="true" outlineLevel="0" collapsed="false">
      <c r="B42" s="30" t="s">
        <v>219</v>
      </c>
      <c r="C42" s="30" t="s">
        <v>30</v>
      </c>
      <c r="D42" s="30" t="s">
        <v>148</v>
      </c>
      <c r="E42" s="30" t="s">
        <v>149</v>
      </c>
      <c r="F42" s="30" t="s">
        <v>35</v>
      </c>
      <c r="G42" s="30" t="s">
        <v>158</v>
      </c>
      <c r="H42" s="39" t="n">
        <v>62.273427</v>
      </c>
      <c r="I42" s="30" t="s">
        <v>151</v>
      </c>
      <c r="J42" s="30" t="s">
        <v>152</v>
      </c>
      <c r="K42" s="40" t="n">
        <v>10.25</v>
      </c>
      <c r="L42" s="31" t="n">
        <f aca="false">K42*(1+Assumptions!$C$6)</f>
        <v>10.378125</v>
      </c>
      <c r="M42" s="40" t="n">
        <v>0.22</v>
      </c>
      <c r="N42" s="31" t="s">
        <v>92</v>
      </c>
      <c r="O42" s="31" t="n">
        <f aca="false">IFERROR(VLOOKUP(N42,'Rate Buildups'!$B$6:$H$16,7,FALSE()),0)</f>
        <v>45.6481575</v>
      </c>
      <c r="P42" s="40" t="n">
        <v>1.25</v>
      </c>
      <c r="Q42" s="40" t="n">
        <v>0.75</v>
      </c>
      <c r="R42" s="31" t="n">
        <f aca="false">H42*L42</f>
        <v>646.281409584375</v>
      </c>
      <c r="S42" s="31" t="n">
        <f aca="false">H42*M42*O42</f>
        <v>625.386784827366</v>
      </c>
      <c r="T42" s="31" t="n">
        <f aca="false">H42*P42*(1+Assumptions!$C$6)</f>
        <v>78.814806046875</v>
      </c>
      <c r="U42" s="31" t="n">
        <f aca="false">H42*Q42*(1+Assumptions!$C$6)</f>
        <v>47.288883628125</v>
      </c>
      <c r="V42" s="31" t="n">
        <f aca="false">SUM(R42:U42)</f>
        <v>1397.77188408674</v>
      </c>
      <c r="W42" s="31" t="n">
        <f aca="false">IFERROR(V42/H42,0)</f>
        <v>22.44571965</v>
      </c>
      <c r="X42" s="30" t="s">
        <v>153</v>
      </c>
      <c r="Y42" s="30" t="s">
        <v>152</v>
      </c>
      <c r="Z42" s="30" t="s">
        <v>154</v>
      </c>
    </row>
    <row r="43" customFormat="false" ht="37.5" hidden="false" customHeight="true" outlineLevel="0" collapsed="false">
      <c r="B43" s="34" t="s">
        <v>220</v>
      </c>
      <c r="C43" s="34" t="s">
        <v>30</v>
      </c>
      <c r="D43" s="34" t="s">
        <v>148</v>
      </c>
      <c r="E43" s="34" t="s">
        <v>149</v>
      </c>
      <c r="F43" s="34" t="s">
        <v>35</v>
      </c>
      <c r="G43" s="34" t="s">
        <v>160</v>
      </c>
      <c r="H43" s="41" t="n">
        <v>1.500325</v>
      </c>
      <c r="I43" s="34" t="s">
        <v>151</v>
      </c>
      <c r="J43" s="34" t="s">
        <v>152</v>
      </c>
      <c r="K43" s="40" t="n">
        <v>18.5</v>
      </c>
      <c r="L43" s="37" t="n">
        <f aca="false">K43*(1+Assumptions!$C$6)</f>
        <v>18.73125</v>
      </c>
      <c r="M43" s="40" t="n">
        <v>0.32</v>
      </c>
      <c r="N43" s="37" t="s">
        <v>92</v>
      </c>
      <c r="O43" s="37" t="n">
        <f aca="false">IFERROR(VLOOKUP(N43,'Rate Buildups'!$B$6:$H$16,7,FALSE()),0)</f>
        <v>45.6481575</v>
      </c>
      <c r="P43" s="40" t="n">
        <v>2</v>
      </c>
      <c r="Q43" s="40" t="n">
        <v>1</v>
      </c>
      <c r="R43" s="37" t="n">
        <f aca="false">H43*L43</f>
        <v>28.10296265625</v>
      </c>
      <c r="S43" s="37" t="n">
        <f aca="false">H43*M43*O43</f>
        <v>21.91586300838</v>
      </c>
      <c r="T43" s="37" t="n">
        <f aca="false">H43*P43*(1+Assumptions!$C$6)</f>
        <v>3.038158125</v>
      </c>
      <c r="U43" s="37" t="n">
        <f aca="false">H43*Q43*(1+Assumptions!$C$6)</f>
        <v>1.5190790625</v>
      </c>
      <c r="V43" s="37" t="n">
        <f aca="false">SUM(R43:U43)</f>
        <v>54.57606285213</v>
      </c>
      <c r="W43" s="37" t="n">
        <f aca="false">IFERROR(V43/H43,0)</f>
        <v>36.3761604</v>
      </c>
      <c r="X43" s="34" t="s">
        <v>153</v>
      </c>
      <c r="Y43" s="34" t="s">
        <v>152</v>
      </c>
      <c r="Z43" s="34" t="s">
        <v>154</v>
      </c>
    </row>
    <row r="44" customFormat="false" ht="37.5" hidden="false" customHeight="true" outlineLevel="0" collapsed="false">
      <c r="B44" s="30" t="s">
        <v>221</v>
      </c>
      <c r="C44" s="30" t="s">
        <v>30</v>
      </c>
      <c r="D44" s="30" t="s">
        <v>162</v>
      </c>
      <c r="E44" s="30" t="s">
        <v>163</v>
      </c>
      <c r="F44" s="30" t="s">
        <v>35</v>
      </c>
      <c r="G44" s="30" t="s">
        <v>164</v>
      </c>
      <c r="H44" s="39" t="n">
        <v>1</v>
      </c>
      <c r="I44" s="30" t="s">
        <v>165</v>
      </c>
      <c r="J44" s="30" t="s">
        <v>166</v>
      </c>
      <c r="K44" s="40" t="n">
        <v>250</v>
      </c>
      <c r="L44" s="31" t="n">
        <f aca="false">K44*(1+Assumptions!$C$6)</f>
        <v>253.125</v>
      </c>
      <c r="M44" s="40" t="n">
        <v>10</v>
      </c>
      <c r="N44" s="31" t="s">
        <v>92</v>
      </c>
      <c r="O44" s="31" t="n">
        <f aca="false">IFERROR(VLOOKUP(N44,'Rate Buildups'!$B$6:$H$16,7,FALSE()),0)</f>
        <v>45.6481575</v>
      </c>
      <c r="P44" s="40" t="n">
        <v>25</v>
      </c>
      <c r="Q44" s="40" t="n">
        <v>50</v>
      </c>
      <c r="R44" s="31" t="n">
        <f aca="false">H44*L44</f>
        <v>253.125</v>
      </c>
      <c r="S44" s="31" t="n">
        <f aca="false">H44*M44*O44</f>
        <v>456.481575</v>
      </c>
      <c r="T44" s="31" t="n">
        <f aca="false">H44*P44*(1+Assumptions!$C$6)</f>
        <v>25.3125</v>
      </c>
      <c r="U44" s="31" t="n">
        <f aca="false">H44*Q44*(1+Assumptions!$C$6)</f>
        <v>50.625</v>
      </c>
      <c r="V44" s="31" t="n">
        <f aca="false">SUM(R44:U44)</f>
        <v>785.544075</v>
      </c>
      <c r="W44" s="31" t="n">
        <f aca="false">IFERROR(V44/H44,0)</f>
        <v>785.544075</v>
      </c>
      <c r="X44" s="30" t="s">
        <v>153</v>
      </c>
      <c r="Y44" s="30" t="s">
        <v>166</v>
      </c>
      <c r="Z44" s="30" t="s">
        <v>167</v>
      </c>
    </row>
    <row r="45" customFormat="false" ht="37.5" hidden="false" customHeight="true" outlineLevel="0" collapsed="false">
      <c r="B45" s="34" t="s">
        <v>222</v>
      </c>
      <c r="C45" s="34" t="s">
        <v>30</v>
      </c>
      <c r="D45" s="34" t="s">
        <v>162</v>
      </c>
      <c r="E45" s="34" t="s">
        <v>163</v>
      </c>
      <c r="F45" s="34" t="s">
        <v>35</v>
      </c>
      <c r="G45" s="34" t="s">
        <v>169</v>
      </c>
      <c r="H45" s="41" t="n">
        <v>2</v>
      </c>
      <c r="I45" s="34" t="s">
        <v>165</v>
      </c>
      <c r="J45" s="34" t="s">
        <v>166</v>
      </c>
      <c r="K45" s="40" t="n">
        <v>180</v>
      </c>
      <c r="L45" s="37" t="n">
        <f aca="false">K45*(1+Assumptions!$C$6)</f>
        <v>182.25</v>
      </c>
      <c r="M45" s="40" t="n">
        <v>8</v>
      </c>
      <c r="N45" s="37" t="s">
        <v>92</v>
      </c>
      <c r="O45" s="37" t="n">
        <f aca="false">IFERROR(VLOOKUP(N45,'Rate Buildups'!$B$6:$H$16,7,FALSE()),0)</f>
        <v>45.6481575</v>
      </c>
      <c r="P45" s="40" t="n">
        <v>10</v>
      </c>
      <c r="Q45" s="40" t="n">
        <v>25</v>
      </c>
      <c r="R45" s="37" t="n">
        <f aca="false">H45*L45</f>
        <v>364.5</v>
      </c>
      <c r="S45" s="37" t="n">
        <f aca="false">H45*M45*O45</f>
        <v>730.37052</v>
      </c>
      <c r="T45" s="37" t="n">
        <f aca="false">H45*P45*(1+Assumptions!$C$6)</f>
        <v>20.25</v>
      </c>
      <c r="U45" s="37" t="n">
        <f aca="false">H45*Q45*(1+Assumptions!$C$6)</f>
        <v>50.625</v>
      </c>
      <c r="V45" s="37" t="n">
        <f aca="false">SUM(R45:U45)</f>
        <v>1165.74552</v>
      </c>
      <c r="W45" s="37" t="n">
        <f aca="false">IFERROR(V45/H45,0)</f>
        <v>582.87276</v>
      </c>
      <c r="X45" s="34" t="s">
        <v>153</v>
      </c>
      <c r="Y45" s="34" t="s">
        <v>166</v>
      </c>
      <c r="Z45" s="34" t="s">
        <v>167</v>
      </c>
    </row>
    <row r="46" customFormat="false" ht="37.5" hidden="false" customHeight="true" outlineLevel="0" collapsed="false">
      <c r="B46" s="30" t="s">
        <v>223</v>
      </c>
      <c r="C46" s="30" t="s">
        <v>30</v>
      </c>
      <c r="D46" s="30" t="s">
        <v>162</v>
      </c>
      <c r="E46" s="30" t="s">
        <v>163</v>
      </c>
      <c r="F46" s="30" t="s">
        <v>35</v>
      </c>
      <c r="G46" s="30" t="s">
        <v>171</v>
      </c>
      <c r="H46" s="39" t="n">
        <v>1</v>
      </c>
      <c r="I46" s="30" t="s">
        <v>165</v>
      </c>
      <c r="J46" s="30" t="s">
        <v>166</v>
      </c>
      <c r="K46" s="40" t="n">
        <v>120</v>
      </c>
      <c r="L46" s="31" t="n">
        <f aca="false">K46*(1+Assumptions!$C$6)</f>
        <v>121.5</v>
      </c>
      <c r="M46" s="40" t="n">
        <v>14</v>
      </c>
      <c r="N46" s="31" t="s">
        <v>92</v>
      </c>
      <c r="O46" s="31" t="n">
        <f aca="false">IFERROR(VLOOKUP(N46,'Rate Buildups'!$B$6:$H$16,7,FALSE()),0)</f>
        <v>45.6481575</v>
      </c>
      <c r="P46" s="40" t="n">
        <v>15</v>
      </c>
      <c r="Q46" s="40" t="n">
        <v>40</v>
      </c>
      <c r="R46" s="31" t="n">
        <f aca="false">H46*L46</f>
        <v>121.5</v>
      </c>
      <c r="S46" s="31" t="n">
        <f aca="false">H46*M46*O46</f>
        <v>639.074205</v>
      </c>
      <c r="T46" s="31" t="n">
        <f aca="false">H46*P46*(1+Assumptions!$C$6)</f>
        <v>15.1875</v>
      </c>
      <c r="U46" s="31" t="n">
        <f aca="false">H46*Q46*(1+Assumptions!$C$6)</f>
        <v>40.5</v>
      </c>
      <c r="V46" s="31" t="n">
        <f aca="false">SUM(R46:U46)</f>
        <v>816.261705</v>
      </c>
      <c r="W46" s="31" t="n">
        <f aca="false">IFERROR(V46/H46,0)</f>
        <v>816.261705</v>
      </c>
      <c r="X46" s="30" t="s">
        <v>153</v>
      </c>
      <c r="Y46" s="30" t="s">
        <v>166</v>
      </c>
      <c r="Z46" s="30" t="s">
        <v>167</v>
      </c>
    </row>
    <row r="47" customFormat="false" ht="37.5" hidden="false" customHeight="true" outlineLevel="0" collapsed="false">
      <c r="B47" s="34" t="s">
        <v>224</v>
      </c>
      <c r="C47" s="34" t="s">
        <v>30</v>
      </c>
      <c r="D47" s="34" t="s">
        <v>162</v>
      </c>
      <c r="E47" s="34" t="s">
        <v>163</v>
      </c>
      <c r="F47" s="34" t="s">
        <v>35</v>
      </c>
      <c r="G47" s="34" t="s">
        <v>173</v>
      </c>
      <c r="H47" s="41" t="n">
        <v>1</v>
      </c>
      <c r="I47" s="34" t="s">
        <v>165</v>
      </c>
      <c r="J47" s="34" t="s">
        <v>166</v>
      </c>
      <c r="K47" s="40" t="n">
        <v>150</v>
      </c>
      <c r="L47" s="37" t="n">
        <f aca="false">K47*(1+Assumptions!$C$6)</f>
        <v>151.875</v>
      </c>
      <c r="M47" s="40" t="n">
        <v>16</v>
      </c>
      <c r="N47" s="37" t="s">
        <v>92</v>
      </c>
      <c r="O47" s="37" t="n">
        <f aca="false">IFERROR(VLOOKUP(N47,'Rate Buildups'!$B$6:$H$16,7,FALSE()),0)</f>
        <v>45.6481575</v>
      </c>
      <c r="P47" s="40" t="n">
        <v>15</v>
      </c>
      <c r="Q47" s="40" t="n">
        <v>40</v>
      </c>
      <c r="R47" s="37" t="n">
        <f aca="false">H47*L47</f>
        <v>151.875</v>
      </c>
      <c r="S47" s="37" t="n">
        <f aca="false">H47*M47*O47</f>
        <v>730.37052</v>
      </c>
      <c r="T47" s="37" t="n">
        <f aca="false">H47*P47*(1+Assumptions!$C$6)</f>
        <v>15.1875</v>
      </c>
      <c r="U47" s="37" t="n">
        <f aca="false">H47*Q47*(1+Assumptions!$C$6)</f>
        <v>40.5</v>
      </c>
      <c r="V47" s="37" t="n">
        <f aca="false">SUM(R47:U47)</f>
        <v>937.93302</v>
      </c>
      <c r="W47" s="37" t="n">
        <f aca="false">IFERROR(V47/H47,0)</f>
        <v>937.93302</v>
      </c>
      <c r="X47" s="34" t="s">
        <v>153</v>
      </c>
      <c r="Y47" s="34" t="s">
        <v>166</v>
      </c>
      <c r="Z47" s="34" t="s">
        <v>167</v>
      </c>
    </row>
    <row r="48" customFormat="false" ht="37.5" hidden="false" customHeight="true" outlineLevel="0" collapsed="false">
      <c r="B48" s="30" t="s">
        <v>225</v>
      </c>
      <c r="C48" s="30" t="s">
        <v>30</v>
      </c>
      <c r="D48" s="30" t="s">
        <v>162</v>
      </c>
      <c r="E48" s="30" t="s">
        <v>163</v>
      </c>
      <c r="F48" s="30" t="s">
        <v>35</v>
      </c>
      <c r="G48" s="30" t="s">
        <v>175</v>
      </c>
      <c r="H48" s="39" t="n">
        <v>2</v>
      </c>
      <c r="I48" s="30" t="s">
        <v>165</v>
      </c>
      <c r="J48" s="30" t="s">
        <v>166</v>
      </c>
      <c r="K48" s="40" t="n">
        <v>90</v>
      </c>
      <c r="L48" s="31" t="n">
        <f aca="false">K48*(1+Assumptions!$C$6)</f>
        <v>91.125</v>
      </c>
      <c r="M48" s="40" t="n">
        <v>5</v>
      </c>
      <c r="N48" s="31" t="s">
        <v>92</v>
      </c>
      <c r="O48" s="31" t="n">
        <f aca="false">IFERROR(VLOOKUP(N48,'Rate Buildups'!$B$6:$H$16,7,FALSE()),0)</f>
        <v>45.6481575</v>
      </c>
      <c r="P48" s="40" t="n">
        <v>5</v>
      </c>
      <c r="Q48" s="40" t="n">
        <v>20</v>
      </c>
      <c r="R48" s="31" t="n">
        <f aca="false">H48*L48</f>
        <v>182.25</v>
      </c>
      <c r="S48" s="31" t="n">
        <f aca="false">H48*M48*O48</f>
        <v>456.481575</v>
      </c>
      <c r="T48" s="31" t="n">
        <f aca="false">H48*P48*(1+Assumptions!$C$6)</f>
        <v>10.125</v>
      </c>
      <c r="U48" s="31" t="n">
        <f aca="false">H48*Q48*(1+Assumptions!$C$6)</f>
        <v>40.5</v>
      </c>
      <c r="V48" s="31" t="n">
        <f aca="false">SUM(R48:U48)</f>
        <v>689.356575</v>
      </c>
      <c r="W48" s="31" t="n">
        <f aca="false">IFERROR(V48/H48,0)</f>
        <v>344.6782875</v>
      </c>
      <c r="X48" s="30" t="s">
        <v>153</v>
      </c>
      <c r="Y48" s="30" t="s">
        <v>166</v>
      </c>
      <c r="Z48" s="30" t="s">
        <v>167</v>
      </c>
    </row>
    <row r="49" customFormat="false" ht="37.5" hidden="false" customHeight="true" outlineLevel="0" collapsed="false">
      <c r="B49" s="34" t="s">
        <v>226</v>
      </c>
      <c r="C49" s="34" t="s">
        <v>30</v>
      </c>
      <c r="D49" s="34" t="s">
        <v>162</v>
      </c>
      <c r="E49" s="34" t="s">
        <v>163</v>
      </c>
      <c r="F49" s="34" t="s">
        <v>35</v>
      </c>
      <c r="G49" s="34" t="s">
        <v>177</v>
      </c>
      <c r="H49" s="41" t="n">
        <v>1</v>
      </c>
      <c r="I49" s="34" t="s">
        <v>165</v>
      </c>
      <c r="J49" s="34" t="s">
        <v>166</v>
      </c>
      <c r="K49" s="40" t="n">
        <v>25</v>
      </c>
      <c r="L49" s="37" t="n">
        <f aca="false">K49*(1+Assumptions!$C$6)</f>
        <v>25.3125</v>
      </c>
      <c r="M49" s="40" t="n">
        <v>2</v>
      </c>
      <c r="N49" s="37" t="s">
        <v>98</v>
      </c>
      <c r="O49" s="37" t="n">
        <f aca="false">IFERROR(VLOOKUP(N49,'Rate Buildups'!$B$6:$H$16,7,FALSE()),0)</f>
        <v>39.639375</v>
      </c>
      <c r="P49" s="40" t="n">
        <v>5</v>
      </c>
      <c r="Q49" s="40" t="n">
        <v>10</v>
      </c>
      <c r="R49" s="37" t="n">
        <f aca="false">H49*L49</f>
        <v>25.3125</v>
      </c>
      <c r="S49" s="37" t="n">
        <f aca="false">H49*M49*O49</f>
        <v>79.27875</v>
      </c>
      <c r="T49" s="37" t="n">
        <f aca="false">H49*P49*(1+Assumptions!$C$6)</f>
        <v>5.0625</v>
      </c>
      <c r="U49" s="37" t="n">
        <f aca="false">H49*Q49*(1+Assumptions!$C$6)</f>
        <v>10.125</v>
      </c>
      <c r="V49" s="37" t="n">
        <f aca="false">SUM(R49:U49)</f>
        <v>119.77875</v>
      </c>
      <c r="W49" s="37" t="n">
        <f aca="false">IFERROR(V49/H49,0)</f>
        <v>119.77875</v>
      </c>
      <c r="X49" s="34" t="s">
        <v>153</v>
      </c>
      <c r="Y49" s="34" t="s">
        <v>166</v>
      </c>
      <c r="Z49" s="34" t="s">
        <v>167</v>
      </c>
    </row>
    <row r="50" customFormat="false" ht="37.5" hidden="false" customHeight="true" outlineLevel="0" collapsed="false">
      <c r="B50" s="30" t="s">
        <v>227</v>
      </c>
      <c r="C50" s="30" t="s">
        <v>30</v>
      </c>
      <c r="D50" s="30" t="s">
        <v>162</v>
      </c>
      <c r="E50" s="30" t="s">
        <v>163</v>
      </c>
      <c r="F50" s="30" t="s">
        <v>35</v>
      </c>
      <c r="G50" s="30" t="s">
        <v>179</v>
      </c>
      <c r="H50" s="39" t="n">
        <v>1</v>
      </c>
      <c r="I50" s="30" t="s">
        <v>165</v>
      </c>
      <c r="J50" s="30" t="s">
        <v>166</v>
      </c>
      <c r="K50" s="40" t="n">
        <v>15</v>
      </c>
      <c r="L50" s="31" t="n">
        <f aca="false">K50*(1+Assumptions!$C$6)</f>
        <v>15.1875</v>
      </c>
      <c r="M50" s="40" t="n">
        <v>2</v>
      </c>
      <c r="N50" s="31" t="s">
        <v>98</v>
      </c>
      <c r="O50" s="31" t="n">
        <f aca="false">IFERROR(VLOOKUP(N50,'Rate Buildups'!$B$6:$H$16,7,FALSE()),0)</f>
        <v>39.639375</v>
      </c>
      <c r="P50" s="40" t="n">
        <v>5</v>
      </c>
      <c r="Q50" s="40" t="n">
        <v>10</v>
      </c>
      <c r="R50" s="31" t="n">
        <f aca="false">H50*L50</f>
        <v>15.1875</v>
      </c>
      <c r="S50" s="31" t="n">
        <f aca="false">H50*M50*O50</f>
        <v>79.27875</v>
      </c>
      <c r="T50" s="31" t="n">
        <f aca="false">H50*P50*(1+Assumptions!$C$6)</f>
        <v>5.0625</v>
      </c>
      <c r="U50" s="31" t="n">
        <f aca="false">H50*Q50*(1+Assumptions!$C$6)</f>
        <v>10.125</v>
      </c>
      <c r="V50" s="31" t="n">
        <f aca="false">SUM(R50:U50)</f>
        <v>109.65375</v>
      </c>
      <c r="W50" s="31" t="n">
        <f aca="false">IFERROR(V50/H50,0)</f>
        <v>109.65375</v>
      </c>
      <c r="X50" s="30" t="s">
        <v>153</v>
      </c>
      <c r="Y50" s="30" t="s">
        <v>166</v>
      </c>
      <c r="Z50" s="30" t="s">
        <v>167</v>
      </c>
    </row>
    <row r="51" customFormat="false" ht="37.5" hidden="false" customHeight="true" outlineLevel="0" collapsed="false">
      <c r="B51" s="34" t="s">
        <v>228</v>
      </c>
      <c r="C51" s="34" t="s">
        <v>30</v>
      </c>
      <c r="D51" s="34" t="s">
        <v>148</v>
      </c>
      <c r="E51" s="34" t="s">
        <v>181</v>
      </c>
      <c r="F51" s="34" t="s">
        <v>35</v>
      </c>
      <c r="G51" s="34" t="s">
        <v>182</v>
      </c>
      <c r="H51" s="41" t="n">
        <v>3</v>
      </c>
      <c r="I51" s="34" t="s">
        <v>165</v>
      </c>
      <c r="J51" s="34" t="s">
        <v>183</v>
      </c>
      <c r="K51" s="40" t="n">
        <v>85</v>
      </c>
      <c r="L51" s="37" t="n">
        <f aca="false">K51*(1+Assumptions!$C$6)</f>
        <v>86.0625</v>
      </c>
      <c r="M51" s="40" t="n">
        <v>2.5</v>
      </c>
      <c r="N51" s="37" t="s">
        <v>92</v>
      </c>
      <c r="O51" s="37" t="n">
        <f aca="false">IFERROR(VLOOKUP(N51,'Rate Buildups'!$B$6:$H$16,7,FALSE()),0)</f>
        <v>45.6481575</v>
      </c>
      <c r="P51" s="40" t="n">
        <v>5</v>
      </c>
      <c r="Q51" s="40" t="n">
        <v>10</v>
      </c>
      <c r="R51" s="37" t="n">
        <f aca="false">H51*L51</f>
        <v>258.1875</v>
      </c>
      <c r="S51" s="37" t="n">
        <f aca="false">H51*M51*O51</f>
        <v>342.36118125</v>
      </c>
      <c r="T51" s="37" t="n">
        <f aca="false">H51*P51*(1+Assumptions!$C$6)</f>
        <v>15.1875</v>
      </c>
      <c r="U51" s="37" t="n">
        <f aca="false">H51*Q51*(1+Assumptions!$C$6)</f>
        <v>30.375</v>
      </c>
      <c r="V51" s="37" t="n">
        <f aca="false">SUM(R51:U51)</f>
        <v>646.11118125</v>
      </c>
      <c r="W51" s="37" t="n">
        <f aca="false">IFERROR(V51/H51,0)</f>
        <v>215.37039375</v>
      </c>
      <c r="X51" s="34" t="s">
        <v>153</v>
      </c>
      <c r="Y51" s="34" t="s">
        <v>183</v>
      </c>
      <c r="Z51" s="34" t="s">
        <v>184</v>
      </c>
    </row>
    <row r="52" customFormat="false" ht="37.5" hidden="false" customHeight="true" outlineLevel="0" collapsed="false">
      <c r="B52" s="30" t="s">
        <v>229</v>
      </c>
      <c r="C52" s="30" t="s">
        <v>30</v>
      </c>
      <c r="D52" s="30" t="s">
        <v>148</v>
      </c>
      <c r="E52" s="30" t="s">
        <v>181</v>
      </c>
      <c r="F52" s="30" t="s">
        <v>35</v>
      </c>
      <c r="G52" s="30" t="s">
        <v>186</v>
      </c>
      <c r="H52" s="39" t="n">
        <v>3</v>
      </c>
      <c r="I52" s="30" t="s">
        <v>165</v>
      </c>
      <c r="J52" s="30" t="s">
        <v>183</v>
      </c>
      <c r="K52" s="40" t="n">
        <v>160</v>
      </c>
      <c r="L52" s="31" t="n">
        <f aca="false">K52*(1+Assumptions!$C$6)</f>
        <v>162</v>
      </c>
      <c r="M52" s="40" t="n">
        <v>6</v>
      </c>
      <c r="N52" s="31" t="s">
        <v>92</v>
      </c>
      <c r="O52" s="31" t="n">
        <f aca="false">IFERROR(VLOOKUP(N52,'Rate Buildups'!$B$6:$H$16,7,FALSE()),0)</f>
        <v>45.6481575</v>
      </c>
      <c r="P52" s="40" t="n">
        <v>10</v>
      </c>
      <c r="Q52" s="40" t="n">
        <v>20</v>
      </c>
      <c r="R52" s="31" t="n">
        <f aca="false">H52*L52</f>
        <v>486</v>
      </c>
      <c r="S52" s="31" t="n">
        <f aca="false">H52*M52*O52</f>
        <v>821.666835</v>
      </c>
      <c r="T52" s="31" t="n">
        <f aca="false">H52*P52*(1+Assumptions!$C$6)</f>
        <v>30.375</v>
      </c>
      <c r="U52" s="31" t="n">
        <f aca="false">H52*Q52*(1+Assumptions!$C$6)</f>
        <v>60.75</v>
      </c>
      <c r="V52" s="31" t="n">
        <f aca="false">SUM(R52:U52)</f>
        <v>1398.791835</v>
      </c>
      <c r="W52" s="31" t="n">
        <f aca="false">IFERROR(V52/H52,0)</f>
        <v>466.263945</v>
      </c>
      <c r="X52" s="30" t="s">
        <v>153</v>
      </c>
      <c r="Y52" s="30" t="s">
        <v>183</v>
      </c>
      <c r="Z52" s="30" t="s">
        <v>184</v>
      </c>
    </row>
    <row r="53" customFormat="false" ht="37.5" hidden="false" customHeight="true" outlineLevel="0" collapsed="false">
      <c r="B53" s="34" t="s">
        <v>230</v>
      </c>
      <c r="C53" s="34" t="s">
        <v>30</v>
      </c>
      <c r="D53" s="34" t="s">
        <v>148</v>
      </c>
      <c r="E53" s="34" t="s">
        <v>181</v>
      </c>
      <c r="F53" s="34" t="s">
        <v>35</v>
      </c>
      <c r="G53" s="34" t="s">
        <v>188</v>
      </c>
      <c r="H53" s="41" t="n">
        <v>1</v>
      </c>
      <c r="I53" s="34" t="s">
        <v>165</v>
      </c>
      <c r="J53" s="34" t="s">
        <v>183</v>
      </c>
      <c r="K53" s="40" t="n">
        <v>75</v>
      </c>
      <c r="L53" s="37" t="n">
        <f aca="false">K53*(1+Assumptions!$C$6)</f>
        <v>75.9375</v>
      </c>
      <c r="M53" s="40" t="n">
        <v>2</v>
      </c>
      <c r="N53" s="37" t="s">
        <v>92</v>
      </c>
      <c r="O53" s="37" t="n">
        <f aca="false">IFERROR(VLOOKUP(N53,'Rate Buildups'!$B$6:$H$16,7,FALSE()),0)</f>
        <v>45.6481575</v>
      </c>
      <c r="P53" s="40" t="n">
        <v>5</v>
      </c>
      <c r="Q53" s="40" t="n">
        <v>10</v>
      </c>
      <c r="R53" s="37" t="n">
        <f aca="false">H53*L53</f>
        <v>75.9375</v>
      </c>
      <c r="S53" s="37" t="n">
        <f aca="false">H53*M53*O53</f>
        <v>91.296315</v>
      </c>
      <c r="T53" s="37" t="n">
        <f aca="false">H53*P53*(1+Assumptions!$C$6)</f>
        <v>5.0625</v>
      </c>
      <c r="U53" s="37" t="n">
        <f aca="false">H53*Q53*(1+Assumptions!$C$6)</f>
        <v>10.125</v>
      </c>
      <c r="V53" s="37" t="n">
        <f aca="false">SUM(R53:U53)</f>
        <v>182.421315</v>
      </c>
      <c r="W53" s="37" t="n">
        <f aca="false">IFERROR(V53/H53,0)</f>
        <v>182.421315</v>
      </c>
      <c r="X53" s="34" t="s">
        <v>153</v>
      </c>
      <c r="Y53" s="34" t="s">
        <v>183</v>
      </c>
      <c r="Z53" s="34" t="s">
        <v>184</v>
      </c>
    </row>
    <row r="54" customFormat="false" ht="37.5" hidden="false" customHeight="true" outlineLevel="0" collapsed="false">
      <c r="B54" s="30" t="s">
        <v>231</v>
      </c>
      <c r="C54" s="30" t="s">
        <v>30</v>
      </c>
      <c r="D54" s="30" t="s">
        <v>148</v>
      </c>
      <c r="E54" s="30" t="s">
        <v>181</v>
      </c>
      <c r="F54" s="30" t="s">
        <v>35</v>
      </c>
      <c r="G54" s="30" t="s">
        <v>190</v>
      </c>
      <c r="H54" s="39" t="n">
        <v>1</v>
      </c>
      <c r="I54" s="30" t="s">
        <v>165</v>
      </c>
      <c r="J54" s="30" t="s">
        <v>183</v>
      </c>
      <c r="K54" s="40" t="n">
        <v>220</v>
      </c>
      <c r="L54" s="31" t="n">
        <f aca="false">K54*(1+Assumptions!$C$6)</f>
        <v>222.75</v>
      </c>
      <c r="M54" s="40" t="n">
        <v>5</v>
      </c>
      <c r="N54" s="31" t="s">
        <v>92</v>
      </c>
      <c r="O54" s="31" t="n">
        <f aca="false">IFERROR(VLOOKUP(N54,'Rate Buildups'!$B$6:$H$16,7,FALSE()),0)</f>
        <v>45.6481575</v>
      </c>
      <c r="P54" s="40" t="n">
        <v>45</v>
      </c>
      <c r="Q54" s="40" t="n">
        <v>25</v>
      </c>
      <c r="R54" s="31" t="n">
        <f aca="false">H54*L54</f>
        <v>222.75</v>
      </c>
      <c r="S54" s="31" t="n">
        <f aca="false">H54*M54*O54</f>
        <v>228.2407875</v>
      </c>
      <c r="T54" s="31" t="n">
        <f aca="false">H54*P54*(1+Assumptions!$C$6)</f>
        <v>45.5625</v>
      </c>
      <c r="U54" s="31" t="n">
        <f aca="false">H54*Q54*(1+Assumptions!$C$6)</f>
        <v>25.3125</v>
      </c>
      <c r="V54" s="31" t="n">
        <f aca="false">SUM(R54:U54)</f>
        <v>521.8657875</v>
      </c>
      <c r="W54" s="31" t="n">
        <f aca="false">IFERROR(V54/H54,0)</f>
        <v>521.8657875</v>
      </c>
      <c r="X54" s="30" t="s">
        <v>153</v>
      </c>
      <c r="Y54" s="30" t="s">
        <v>183</v>
      </c>
      <c r="Z54" s="30" t="s">
        <v>184</v>
      </c>
    </row>
    <row r="55" customFormat="false" ht="37.5" hidden="false" customHeight="true" outlineLevel="0" collapsed="false">
      <c r="B55" s="34" t="s">
        <v>232</v>
      </c>
      <c r="C55" s="34" t="s">
        <v>30</v>
      </c>
      <c r="D55" s="34" t="s">
        <v>148</v>
      </c>
      <c r="E55" s="34" t="s">
        <v>181</v>
      </c>
      <c r="F55" s="34" t="s">
        <v>35</v>
      </c>
      <c r="G55" s="34" t="s">
        <v>192</v>
      </c>
      <c r="H55" s="41" t="n">
        <v>1</v>
      </c>
      <c r="I55" s="34" t="s">
        <v>165</v>
      </c>
      <c r="J55" s="34" t="s">
        <v>183</v>
      </c>
      <c r="K55" s="40" t="n">
        <v>45</v>
      </c>
      <c r="L55" s="37" t="n">
        <f aca="false">K55*(1+Assumptions!$C$6)</f>
        <v>45.5625</v>
      </c>
      <c r="M55" s="40" t="n">
        <v>1.5</v>
      </c>
      <c r="N55" s="37" t="s">
        <v>92</v>
      </c>
      <c r="O55" s="37" t="n">
        <f aca="false">IFERROR(VLOOKUP(N55,'Rate Buildups'!$B$6:$H$16,7,FALSE()),0)</f>
        <v>45.6481575</v>
      </c>
      <c r="P55" s="40" t="n">
        <v>0</v>
      </c>
      <c r="Q55" s="40" t="n">
        <v>5</v>
      </c>
      <c r="R55" s="37" t="n">
        <f aca="false">H55*L55</f>
        <v>45.5625</v>
      </c>
      <c r="S55" s="37" t="n">
        <f aca="false">H55*M55*O55</f>
        <v>68.47223625</v>
      </c>
      <c r="T55" s="37" t="n">
        <f aca="false">H55*P55*(1+Assumptions!$C$6)</f>
        <v>0</v>
      </c>
      <c r="U55" s="37" t="n">
        <f aca="false">H55*Q55*(1+Assumptions!$C$6)</f>
        <v>5.0625</v>
      </c>
      <c r="V55" s="37" t="n">
        <f aca="false">SUM(R55:U55)</f>
        <v>119.09723625</v>
      </c>
      <c r="W55" s="37" t="n">
        <f aca="false">IFERROR(V55/H55,0)</f>
        <v>119.09723625</v>
      </c>
      <c r="X55" s="34" t="s">
        <v>153</v>
      </c>
      <c r="Y55" s="34" t="s">
        <v>183</v>
      </c>
      <c r="Z55" s="34" t="s">
        <v>184</v>
      </c>
    </row>
    <row r="56" customFormat="false" ht="37.5" hidden="false" customHeight="true" outlineLevel="0" collapsed="false">
      <c r="B56" s="30" t="s">
        <v>233</v>
      </c>
      <c r="C56" s="30" t="s">
        <v>32</v>
      </c>
      <c r="D56" s="30" t="s">
        <v>148</v>
      </c>
      <c r="E56" s="30" t="s">
        <v>194</v>
      </c>
      <c r="F56" s="30" t="s">
        <v>35</v>
      </c>
      <c r="G56" s="30" t="s">
        <v>195</v>
      </c>
      <c r="H56" s="39" t="n">
        <v>1</v>
      </c>
      <c r="I56" s="30" t="s">
        <v>196</v>
      </c>
      <c r="J56" s="30" t="s">
        <v>197</v>
      </c>
      <c r="K56" s="40" t="n">
        <v>25</v>
      </c>
      <c r="L56" s="31" t="n">
        <f aca="false">K56*(1+Assumptions!$C$6)</f>
        <v>25.3125</v>
      </c>
      <c r="M56" s="40" t="n">
        <v>4</v>
      </c>
      <c r="N56" s="31" t="s">
        <v>92</v>
      </c>
      <c r="O56" s="31" t="n">
        <f aca="false">IFERROR(VLOOKUP(N56,'Rate Buildups'!$B$6:$H$16,7,FALSE()),0)</f>
        <v>45.6481575</v>
      </c>
      <c r="P56" s="40" t="n">
        <v>20</v>
      </c>
      <c r="Q56" s="40" t="n">
        <v>75</v>
      </c>
      <c r="R56" s="31" t="n">
        <f aca="false">H56*L56</f>
        <v>25.3125</v>
      </c>
      <c r="S56" s="31" t="n">
        <f aca="false">H56*M56*O56</f>
        <v>182.59263</v>
      </c>
      <c r="T56" s="31" t="n">
        <f aca="false">H56*P56*(1+Assumptions!$C$6)</f>
        <v>20.25</v>
      </c>
      <c r="U56" s="31" t="n">
        <f aca="false">H56*Q56*(1+Assumptions!$C$6)</f>
        <v>75.9375</v>
      </c>
      <c r="V56" s="31" t="n">
        <f aca="false">SUM(R56:U56)</f>
        <v>304.09263</v>
      </c>
      <c r="W56" s="31" t="n">
        <f aca="false">IFERROR(V56/H56,0)</f>
        <v>304.09263</v>
      </c>
      <c r="X56" s="30" t="s">
        <v>153</v>
      </c>
      <c r="Y56" s="30" t="s">
        <v>198</v>
      </c>
      <c r="Z56" s="30" t="s">
        <v>199</v>
      </c>
    </row>
    <row r="57" customFormat="false" ht="37.5" hidden="false" customHeight="true" outlineLevel="0" collapsed="false">
      <c r="B57" s="34" t="s">
        <v>234</v>
      </c>
      <c r="C57" s="34" t="s">
        <v>30</v>
      </c>
      <c r="D57" s="34" t="s">
        <v>148</v>
      </c>
      <c r="E57" s="34" t="s">
        <v>149</v>
      </c>
      <c r="F57" s="34" t="s">
        <v>37</v>
      </c>
      <c r="G57" s="34" t="s">
        <v>150</v>
      </c>
      <c r="H57" s="41" t="n">
        <v>8.798706</v>
      </c>
      <c r="I57" s="34" t="s">
        <v>151</v>
      </c>
      <c r="J57" s="34" t="s">
        <v>152</v>
      </c>
      <c r="K57" s="40" t="n">
        <v>5.2</v>
      </c>
      <c r="L57" s="37" t="n">
        <f aca="false">K57*(1+Assumptions!$C$6)</f>
        <v>5.265</v>
      </c>
      <c r="M57" s="40" t="n">
        <v>0.16</v>
      </c>
      <c r="N57" s="37" t="s">
        <v>92</v>
      </c>
      <c r="O57" s="37" t="n">
        <f aca="false">IFERROR(VLOOKUP(N57,'Rate Buildups'!$B$6:$H$16,7,FALSE()),0)</f>
        <v>45.6481575</v>
      </c>
      <c r="P57" s="40" t="n">
        <v>0.75</v>
      </c>
      <c r="Q57" s="40" t="n">
        <v>0.5</v>
      </c>
      <c r="R57" s="37" t="n">
        <f aca="false">H57*L57</f>
        <v>46.32518709</v>
      </c>
      <c r="S57" s="37" t="n">
        <f aca="false">H57*M57*O57</f>
        <v>64.2631547654712</v>
      </c>
      <c r="T57" s="37" t="n">
        <f aca="false">H57*P57*(1+Assumptions!$C$6)</f>
        <v>6.68151736875</v>
      </c>
      <c r="U57" s="37" t="n">
        <f aca="false">H57*Q57*(1+Assumptions!$C$6)</f>
        <v>4.4543449125</v>
      </c>
      <c r="V57" s="37" t="n">
        <f aca="false">SUM(R57:U57)</f>
        <v>121.724204136721</v>
      </c>
      <c r="W57" s="37" t="n">
        <f aca="false">IFERROR(V57/H57,0)</f>
        <v>13.8343302</v>
      </c>
      <c r="X57" s="34" t="s">
        <v>153</v>
      </c>
      <c r="Y57" s="34" t="s">
        <v>152</v>
      </c>
      <c r="Z57" s="34" t="s">
        <v>154</v>
      </c>
    </row>
    <row r="58" customFormat="false" ht="37.5" hidden="false" customHeight="true" outlineLevel="0" collapsed="false">
      <c r="B58" s="30" t="s">
        <v>235</v>
      </c>
      <c r="C58" s="30" t="s">
        <v>30</v>
      </c>
      <c r="D58" s="30" t="s">
        <v>148</v>
      </c>
      <c r="E58" s="30" t="s">
        <v>149</v>
      </c>
      <c r="F58" s="30" t="s">
        <v>37</v>
      </c>
      <c r="G58" s="30" t="s">
        <v>156</v>
      </c>
      <c r="H58" s="39" t="n">
        <v>15.889374</v>
      </c>
      <c r="I58" s="30" t="s">
        <v>151</v>
      </c>
      <c r="J58" s="30" t="s">
        <v>152</v>
      </c>
      <c r="K58" s="40" t="n">
        <v>7.4</v>
      </c>
      <c r="L58" s="31" t="n">
        <f aca="false">K58*(1+Assumptions!$C$6)</f>
        <v>7.4925</v>
      </c>
      <c r="M58" s="40" t="n">
        <v>0.18</v>
      </c>
      <c r="N58" s="31" t="s">
        <v>92</v>
      </c>
      <c r="O58" s="31" t="n">
        <f aca="false">IFERROR(VLOOKUP(N58,'Rate Buildups'!$B$6:$H$16,7,FALSE()),0)</f>
        <v>45.6481575</v>
      </c>
      <c r="P58" s="40" t="n">
        <v>1</v>
      </c>
      <c r="Q58" s="40" t="n">
        <v>0.5</v>
      </c>
      <c r="R58" s="31" t="n">
        <f aca="false">H58*L58</f>
        <v>119.051134695</v>
      </c>
      <c r="S58" s="31" t="n">
        <f aca="false">H58*M58*O58</f>
        <v>130.557716447113</v>
      </c>
      <c r="T58" s="31" t="n">
        <f aca="false">H58*P58*(1+Assumptions!$C$6)</f>
        <v>16.087991175</v>
      </c>
      <c r="U58" s="31" t="n">
        <f aca="false">H58*Q58*(1+Assumptions!$C$6)</f>
        <v>8.0439955875</v>
      </c>
      <c r="V58" s="31" t="n">
        <f aca="false">SUM(R58:U58)</f>
        <v>273.740837904613</v>
      </c>
      <c r="W58" s="31" t="n">
        <f aca="false">IFERROR(V58/H58,0)</f>
        <v>17.22791835</v>
      </c>
      <c r="X58" s="30" t="s">
        <v>153</v>
      </c>
      <c r="Y58" s="30" t="s">
        <v>152</v>
      </c>
      <c r="Z58" s="30" t="s">
        <v>154</v>
      </c>
    </row>
    <row r="59" customFormat="false" ht="37.5" hidden="false" customHeight="true" outlineLevel="0" collapsed="false">
      <c r="B59" s="34" t="s">
        <v>236</v>
      </c>
      <c r="C59" s="34" t="s">
        <v>30</v>
      </c>
      <c r="D59" s="34" t="s">
        <v>148</v>
      </c>
      <c r="E59" s="34" t="s">
        <v>149</v>
      </c>
      <c r="F59" s="34" t="s">
        <v>37</v>
      </c>
      <c r="G59" s="34" t="s">
        <v>158</v>
      </c>
      <c r="H59" s="41" t="n">
        <v>43.513205</v>
      </c>
      <c r="I59" s="34" t="s">
        <v>151</v>
      </c>
      <c r="J59" s="34" t="s">
        <v>152</v>
      </c>
      <c r="K59" s="40" t="n">
        <v>10.25</v>
      </c>
      <c r="L59" s="37" t="n">
        <f aca="false">K59*(1+Assumptions!$C$6)</f>
        <v>10.378125</v>
      </c>
      <c r="M59" s="40" t="n">
        <v>0.22</v>
      </c>
      <c r="N59" s="37" t="s">
        <v>92</v>
      </c>
      <c r="O59" s="37" t="n">
        <f aca="false">IFERROR(VLOOKUP(N59,'Rate Buildups'!$B$6:$H$16,7,FALSE()),0)</f>
        <v>45.6481575</v>
      </c>
      <c r="P59" s="40" t="n">
        <v>1.25</v>
      </c>
      <c r="Q59" s="40" t="n">
        <v>0.75</v>
      </c>
      <c r="R59" s="37" t="n">
        <f aca="false">H59*L59</f>
        <v>451.585480640625</v>
      </c>
      <c r="S59" s="37" t="n">
        <f aca="false">H59*M59*O59</f>
        <v>436.985479737353</v>
      </c>
      <c r="T59" s="37" t="n">
        <f aca="false">H59*P59*(1+Assumptions!$C$6)</f>
        <v>55.071400078125</v>
      </c>
      <c r="U59" s="37" t="n">
        <f aca="false">H59*Q59*(1+Assumptions!$C$6)</f>
        <v>33.042840046875</v>
      </c>
      <c r="V59" s="37" t="n">
        <f aca="false">SUM(R59:U59)</f>
        <v>976.685200502978</v>
      </c>
      <c r="W59" s="37" t="n">
        <f aca="false">IFERROR(V59/H59,0)</f>
        <v>22.44571965</v>
      </c>
      <c r="X59" s="34" t="s">
        <v>153</v>
      </c>
      <c r="Y59" s="34" t="s">
        <v>152</v>
      </c>
      <c r="Z59" s="34" t="s">
        <v>154</v>
      </c>
    </row>
    <row r="60" customFormat="false" ht="37.5" hidden="false" customHeight="true" outlineLevel="0" collapsed="false">
      <c r="B60" s="30" t="s">
        <v>237</v>
      </c>
      <c r="C60" s="30" t="s">
        <v>30</v>
      </c>
      <c r="D60" s="30" t="s">
        <v>148</v>
      </c>
      <c r="E60" s="30" t="s">
        <v>149</v>
      </c>
      <c r="F60" s="30" t="s">
        <v>37</v>
      </c>
      <c r="G60" s="30" t="s">
        <v>160</v>
      </c>
      <c r="H60" s="39" t="n">
        <v>1.500325</v>
      </c>
      <c r="I60" s="30" t="s">
        <v>151</v>
      </c>
      <c r="J60" s="30" t="s">
        <v>152</v>
      </c>
      <c r="K60" s="40" t="n">
        <v>18.5</v>
      </c>
      <c r="L60" s="31" t="n">
        <f aca="false">K60*(1+Assumptions!$C$6)</f>
        <v>18.73125</v>
      </c>
      <c r="M60" s="40" t="n">
        <v>0.32</v>
      </c>
      <c r="N60" s="31" t="s">
        <v>92</v>
      </c>
      <c r="O60" s="31" t="n">
        <f aca="false">IFERROR(VLOOKUP(N60,'Rate Buildups'!$B$6:$H$16,7,FALSE()),0)</f>
        <v>45.6481575</v>
      </c>
      <c r="P60" s="40" t="n">
        <v>2</v>
      </c>
      <c r="Q60" s="40" t="n">
        <v>1</v>
      </c>
      <c r="R60" s="31" t="n">
        <f aca="false">H60*L60</f>
        <v>28.10296265625</v>
      </c>
      <c r="S60" s="31" t="n">
        <f aca="false">H60*M60*O60</f>
        <v>21.91586300838</v>
      </c>
      <c r="T60" s="31" t="n">
        <f aca="false">H60*P60*(1+Assumptions!$C$6)</f>
        <v>3.038158125</v>
      </c>
      <c r="U60" s="31" t="n">
        <f aca="false">H60*Q60*(1+Assumptions!$C$6)</f>
        <v>1.5190790625</v>
      </c>
      <c r="V60" s="31" t="n">
        <f aca="false">SUM(R60:U60)</f>
        <v>54.57606285213</v>
      </c>
      <c r="W60" s="31" t="n">
        <f aca="false">IFERROR(V60/H60,0)</f>
        <v>36.3761604</v>
      </c>
      <c r="X60" s="30" t="s">
        <v>153</v>
      </c>
      <c r="Y60" s="30" t="s">
        <v>152</v>
      </c>
      <c r="Z60" s="30" t="s">
        <v>154</v>
      </c>
    </row>
    <row r="61" customFormat="false" ht="37.5" hidden="false" customHeight="true" outlineLevel="0" collapsed="false">
      <c r="B61" s="34" t="s">
        <v>238</v>
      </c>
      <c r="C61" s="34" t="s">
        <v>30</v>
      </c>
      <c r="D61" s="34" t="s">
        <v>162</v>
      </c>
      <c r="E61" s="34" t="s">
        <v>163</v>
      </c>
      <c r="F61" s="34" t="s">
        <v>37</v>
      </c>
      <c r="G61" s="34" t="s">
        <v>164</v>
      </c>
      <c r="H61" s="41" t="n">
        <v>1</v>
      </c>
      <c r="I61" s="34" t="s">
        <v>165</v>
      </c>
      <c r="J61" s="34" t="s">
        <v>166</v>
      </c>
      <c r="K61" s="40" t="n">
        <v>250</v>
      </c>
      <c r="L61" s="37" t="n">
        <f aca="false">K61*(1+Assumptions!$C$6)</f>
        <v>253.125</v>
      </c>
      <c r="M61" s="40" t="n">
        <v>10</v>
      </c>
      <c r="N61" s="37" t="s">
        <v>92</v>
      </c>
      <c r="O61" s="37" t="n">
        <f aca="false">IFERROR(VLOOKUP(N61,'Rate Buildups'!$B$6:$H$16,7,FALSE()),0)</f>
        <v>45.6481575</v>
      </c>
      <c r="P61" s="40" t="n">
        <v>25</v>
      </c>
      <c r="Q61" s="40" t="n">
        <v>50</v>
      </c>
      <c r="R61" s="37" t="n">
        <f aca="false">H61*L61</f>
        <v>253.125</v>
      </c>
      <c r="S61" s="37" t="n">
        <f aca="false">H61*M61*O61</f>
        <v>456.481575</v>
      </c>
      <c r="T61" s="37" t="n">
        <f aca="false">H61*P61*(1+Assumptions!$C$6)</f>
        <v>25.3125</v>
      </c>
      <c r="U61" s="37" t="n">
        <f aca="false">H61*Q61*(1+Assumptions!$C$6)</f>
        <v>50.625</v>
      </c>
      <c r="V61" s="37" t="n">
        <f aca="false">SUM(R61:U61)</f>
        <v>785.544075</v>
      </c>
      <c r="W61" s="37" t="n">
        <f aca="false">IFERROR(V61/H61,0)</f>
        <v>785.544075</v>
      </c>
      <c r="X61" s="34" t="s">
        <v>153</v>
      </c>
      <c r="Y61" s="34" t="s">
        <v>166</v>
      </c>
      <c r="Z61" s="34" t="s">
        <v>167</v>
      </c>
    </row>
    <row r="62" customFormat="false" ht="37.5" hidden="false" customHeight="true" outlineLevel="0" collapsed="false">
      <c r="B62" s="30" t="s">
        <v>239</v>
      </c>
      <c r="C62" s="30" t="s">
        <v>30</v>
      </c>
      <c r="D62" s="30" t="s">
        <v>162</v>
      </c>
      <c r="E62" s="30" t="s">
        <v>163</v>
      </c>
      <c r="F62" s="30" t="s">
        <v>37</v>
      </c>
      <c r="G62" s="30" t="s">
        <v>169</v>
      </c>
      <c r="H62" s="39" t="n">
        <v>2</v>
      </c>
      <c r="I62" s="30" t="s">
        <v>165</v>
      </c>
      <c r="J62" s="30" t="s">
        <v>166</v>
      </c>
      <c r="K62" s="40" t="n">
        <v>180</v>
      </c>
      <c r="L62" s="31" t="n">
        <f aca="false">K62*(1+Assumptions!$C$6)</f>
        <v>182.25</v>
      </c>
      <c r="M62" s="40" t="n">
        <v>8</v>
      </c>
      <c r="N62" s="31" t="s">
        <v>92</v>
      </c>
      <c r="O62" s="31" t="n">
        <f aca="false">IFERROR(VLOOKUP(N62,'Rate Buildups'!$B$6:$H$16,7,FALSE()),0)</f>
        <v>45.6481575</v>
      </c>
      <c r="P62" s="40" t="n">
        <v>10</v>
      </c>
      <c r="Q62" s="40" t="n">
        <v>25</v>
      </c>
      <c r="R62" s="31" t="n">
        <f aca="false">H62*L62</f>
        <v>364.5</v>
      </c>
      <c r="S62" s="31" t="n">
        <f aca="false">H62*M62*O62</f>
        <v>730.37052</v>
      </c>
      <c r="T62" s="31" t="n">
        <f aca="false">H62*P62*(1+Assumptions!$C$6)</f>
        <v>20.25</v>
      </c>
      <c r="U62" s="31" t="n">
        <f aca="false">H62*Q62*(1+Assumptions!$C$6)</f>
        <v>50.625</v>
      </c>
      <c r="V62" s="31" t="n">
        <f aca="false">SUM(R62:U62)</f>
        <v>1165.74552</v>
      </c>
      <c r="W62" s="31" t="n">
        <f aca="false">IFERROR(V62/H62,0)</f>
        <v>582.87276</v>
      </c>
      <c r="X62" s="30" t="s">
        <v>153</v>
      </c>
      <c r="Y62" s="30" t="s">
        <v>166</v>
      </c>
      <c r="Z62" s="30" t="s">
        <v>167</v>
      </c>
    </row>
    <row r="63" customFormat="false" ht="37.5" hidden="false" customHeight="true" outlineLevel="0" collapsed="false">
      <c r="B63" s="34" t="s">
        <v>240</v>
      </c>
      <c r="C63" s="34" t="s">
        <v>30</v>
      </c>
      <c r="D63" s="34" t="s">
        <v>162</v>
      </c>
      <c r="E63" s="34" t="s">
        <v>163</v>
      </c>
      <c r="F63" s="34" t="s">
        <v>37</v>
      </c>
      <c r="G63" s="34" t="s">
        <v>171</v>
      </c>
      <c r="H63" s="41" t="n">
        <v>1</v>
      </c>
      <c r="I63" s="34" t="s">
        <v>165</v>
      </c>
      <c r="J63" s="34" t="s">
        <v>166</v>
      </c>
      <c r="K63" s="40" t="n">
        <v>120</v>
      </c>
      <c r="L63" s="37" t="n">
        <f aca="false">K63*(1+Assumptions!$C$6)</f>
        <v>121.5</v>
      </c>
      <c r="M63" s="40" t="n">
        <v>14</v>
      </c>
      <c r="N63" s="37" t="s">
        <v>92</v>
      </c>
      <c r="O63" s="37" t="n">
        <f aca="false">IFERROR(VLOOKUP(N63,'Rate Buildups'!$B$6:$H$16,7,FALSE()),0)</f>
        <v>45.6481575</v>
      </c>
      <c r="P63" s="40" t="n">
        <v>15</v>
      </c>
      <c r="Q63" s="40" t="n">
        <v>40</v>
      </c>
      <c r="R63" s="37" t="n">
        <f aca="false">H63*L63</f>
        <v>121.5</v>
      </c>
      <c r="S63" s="37" t="n">
        <f aca="false">H63*M63*O63</f>
        <v>639.074205</v>
      </c>
      <c r="T63" s="37" t="n">
        <f aca="false">H63*P63*(1+Assumptions!$C$6)</f>
        <v>15.1875</v>
      </c>
      <c r="U63" s="37" t="n">
        <f aca="false">H63*Q63*(1+Assumptions!$C$6)</f>
        <v>40.5</v>
      </c>
      <c r="V63" s="37" t="n">
        <f aca="false">SUM(R63:U63)</f>
        <v>816.261705</v>
      </c>
      <c r="W63" s="37" t="n">
        <f aca="false">IFERROR(V63/H63,0)</f>
        <v>816.261705</v>
      </c>
      <c r="X63" s="34" t="s">
        <v>153</v>
      </c>
      <c r="Y63" s="34" t="s">
        <v>166</v>
      </c>
      <c r="Z63" s="34" t="s">
        <v>167</v>
      </c>
    </row>
    <row r="64" customFormat="false" ht="37.5" hidden="false" customHeight="true" outlineLevel="0" collapsed="false">
      <c r="B64" s="30" t="s">
        <v>241</v>
      </c>
      <c r="C64" s="30" t="s">
        <v>30</v>
      </c>
      <c r="D64" s="30" t="s">
        <v>162</v>
      </c>
      <c r="E64" s="30" t="s">
        <v>163</v>
      </c>
      <c r="F64" s="30" t="s">
        <v>37</v>
      </c>
      <c r="G64" s="30" t="s">
        <v>173</v>
      </c>
      <c r="H64" s="39" t="n">
        <v>1</v>
      </c>
      <c r="I64" s="30" t="s">
        <v>165</v>
      </c>
      <c r="J64" s="30" t="s">
        <v>166</v>
      </c>
      <c r="K64" s="40" t="n">
        <v>150</v>
      </c>
      <c r="L64" s="31" t="n">
        <f aca="false">K64*(1+Assumptions!$C$6)</f>
        <v>151.875</v>
      </c>
      <c r="M64" s="40" t="n">
        <v>16</v>
      </c>
      <c r="N64" s="31" t="s">
        <v>92</v>
      </c>
      <c r="O64" s="31" t="n">
        <f aca="false">IFERROR(VLOOKUP(N64,'Rate Buildups'!$B$6:$H$16,7,FALSE()),0)</f>
        <v>45.6481575</v>
      </c>
      <c r="P64" s="40" t="n">
        <v>15</v>
      </c>
      <c r="Q64" s="40" t="n">
        <v>40</v>
      </c>
      <c r="R64" s="31" t="n">
        <f aca="false">H64*L64</f>
        <v>151.875</v>
      </c>
      <c r="S64" s="31" t="n">
        <f aca="false">H64*M64*O64</f>
        <v>730.37052</v>
      </c>
      <c r="T64" s="31" t="n">
        <f aca="false">H64*P64*(1+Assumptions!$C$6)</f>
        <v>15.1875</v>
      </c>
      <c r="U64" s="31" t="n">
        <f aca="false">H64*Q64*(1+Assumptions!$C$6)</f>
        <v>40.5</v>
      </c>
      <c r="V64" s="31" t="n">
        <f aca="false">SUM(R64:U64)</f>
        <v>937.93302</v>
      </c>
      <c r="W64" s="31" t="n">
        <f aca="false">IFERROR(V64/H64,0)</f>
        <v>937.93302</v>
      </c>
      <c r="X64" s="30" t="s">
        <v>153</v>
      </c>
      <c r="Y64" s="30" t="s">
        <v>166</v>
      </c>
      <c r="Z64" s="30" t="s">
        <v>167</v>
      </c>
    </row>
    <row r="65" customFormat="false" ht="37.5" hidden="false" customHeight="true" outlineLevel="0" collapsed="false">
      <c r="B65" s="34" t="s">
        <v>242</v>
      </c>
      <c r="C65" s="34" t="s">
        <v>30</v>
      </c>
      <c r="D65" s="34" t="s">
        <v>162</v>
      </c>
      <c r="E65" s="34" t="s">
        <v>163</v>
      </c>
      <c r="F65" s="34" t="s">
        <v>37</v>
      </c>
      <c r="G65" s="34" t="s">
        <v>175</v>
      </c>
      <c r="H65" s="41" t="n">
        <v>2</v>
      </c>
      <c r="I65" s="34" t="s">
        <v>165</v>
      </c>
      <c r="J65" s="34" t="s">
        <v>166</v>
      </c>
      <c r="K65" s="40" t="n">
        <v>90</v>
      </c>
      <c r="L65" s="37" t="n">
        <f aca="false">K65*(1+Assumptions!$C$6)</f>
        <v>91.125</v>
      </c>
      <c r="M65" s="40" t="n">
        <v>5</v>
      </c>
      <c r="N65" s="37" t="s">
        <v>92</v>
      </c>
      <c r="O65" s="37" t="n">
        <f aca="false">IFERROR(VLOOKUP(N65,'Rate Buildups'!$B$6:$H$16,7,FALSE()),0)</f>
        <v>45.6481575</v>
      </c>
      <c r="P65" s="40" t="n">
        <v>5</v>
      </c>
      <c r="Q65" s="40" t="n">
        <v>20</v>
      </c>
      <c r="R65" s="37" t="n">
        <f aca="false">H65*L65</f>
        <v>182.25</v>
      </c>
      <c r="S65" s="37" t="n">
        <f aca="false">H65*M65*O65</f>
        <v>456.481575</v>
      </c>
      <c r="T65" s="37" t="n">
        <f aca="false">H65*P65*(1+Assumptions!$C$6)</f>
        <v>10.125</v>
      </c>
      <c r="U65" s="37" t="n">
        <f aca="false">H65*Q65*(1+Assumptions!$C$6)</f>
        <v>40.5</v>
      </c>
      <c r="V65" s="37" t="n">
        <f aca="false">SUM(R65:U65)</f>
        <v>689.356575</v>
      </c>
      <c r="W65" s="37" t="n">
        <f aca="false">IFERROR(V65/H65,0)</f>
        <v>344.6782875</v>
      </c>
      <c r="X65" s="34" t="s">
        <v>153</v>
      </c>
      <c r="Y65" s="34" t="s">
        <v>166</v>
      </c>
      <c r="Z65" s="34" t="s">
        <v>167</v>
      </c>
    </row>
    <row r="66" customFormat="false" ht="37.5" hidden="false" customHeight="true" outlineLevel="0" collapsed="false">
      <c r="B66" s="30" t="s">
        <v>243</v>
      </c>
      <c r="C66" s="30" t="s">
        <v>30</v>
      </c>
      <c r="D66" s="30" t="s">
        <v>162</v>
      </c>
      <c r="E66" s="30" t="s">
        <v>163</v>
      </c>
      <c r="F66" s="30" t="s">
        <v>37</v>
      </c>
      <c r="G66" s="30" t="s">
        <v>177</v>
      </c>
      <c r="H66" s="39" t="n">
        <v>1</v>
      </c>
      <c r="I66" s="30" t="s">
        <v>165</v>
      </c>
      <c r="J66" s="30" t="s">
        <v>166</v>
      </c>
      <c r="K66" s="40" t="n">
        <v>25</v>
      </c>
      <c r="L66" s="31" t="n">
        <f aca="false">K66*(1+Assumptions!$C$6)</f>
        <v>25.3125</v>
      </c>
      <c r="M66" s="40" t="n">
        <v>2</v>
      </c>
      <c r="N66" s="31" t="s">
        <v>98</v>
      </c>
      <c r="O66" s="31" t="n">
        <f aca="false">IFERROR(VLOOKUP(N66,'Rate Buildups'!$B$6:$H$16,7,FALSE()),0)</f>
        <v>39.639375</v>
      </c>
      <c r="P66" s="40" t="n">
        <v>5</v>
      </c>
      <c r="Q66" s="40" t="n">
        <v>10</v>
      </c>
      <c r="R66" s="31" t="n">
        <f aca="false">H66*L66</f>
        <v>25.3125</v>
      </c>
      <c r="S66" s="31" t="n">
        <f aca="false">H66*M66*O66</f>
        <v>79.27875</v>
      </c>
      <c r="T66" s="31" t="n">
        <f aca="false">H66*P66*(1+Assumptions!$C$6)</f>
        <v>5.0625</v>
      </c>
      <c r="U66" s="31" t="n">
        <f aca="false">H66*Q66*(1+Assumptions!$C$6)</f>
        <v>10.125</v>
      </c>
      <c r="V66" s="31" t="n">
        <f aca="false">SUM(R66:U66)</f>
        <v>119.77875</v>
      </c>
      <c r="W66" s="31" t="n">
        <f aca="false">IFERROR(V66/H66,0)</f>
        <v>119.77875</v>
      </c>
      <c r="X66" s="30" t="s">
        <v>153</v>
      </c>
      <c r="Y66" s="30" t="s">
        <v>166</v>
      </c>
      <c r="Z66" s="30" t="s">
        <v>167</v>
      </c>
    </row>
    <row r="67" customFormat="false" ht="37.5" hidden="false" customHeight="true" outlineLevel="0" collapsed="false">
      <c r="B67" s="34" t="s">
        <v>244</v>
      </c>
      <c r="C67" s="34" t="s">
        <v>30</v>
      </c>
      <c r="D67" s="34" t="s">
        <v>162</v>
      </c>
      <c r="E67" s="34" t="s">
        <v>163</v>
      </c>
      <c r="F67" s="34" t="s">
        <v>37</v>
      </c>
      <c r="G67" s="34" t="s">
        <v>179</v>
      </c>
      <c r="H67" s="41" t="n">
        <v>1</v>
      </c>
      <c r="I67" s="34" t="s">
        <v>165</v>
      </c>
      <c r="J67" s="34" t="s">
        <v>166</v>
      </c>
      <c r="K67" s="40" t="n">
        <v>15</v>
      </c>
      <c r="L67" s="37" t="n">
        <f aca="false">K67*(1+Assumptions!$C$6)</f>
        <v>15.1875</v>
      </c>
      <c r="M67" s="40" t="n">
        <v>2</v>
      </c>
      <c r="N67" s="37" t="s">
        <v>98</v>
      </c>
      <c r="O67" s="37" t="n">
        <f aca="false">IFERROR(VLOOKUP(N67,'Rate Buildups'!$B$6:$H$16,7,FALSE()),0)</f>
        <v>39.639375</v>
      </c>
      <c r="P67" s="40" t="n">
        <v>5</v>
      </c>
      <c r="Q67" s="40" t="n">
        <v>10</v>
      </c>
      <c r="R67" s="37" t="n">
        <f aca="false">H67*L67</f>
        <v>15.1875</v>
      </c>
      <c r="S67" s="37" t="n">
        <f aca="false">H67*M67*O67</f>
        <v>79.27875</v>
      </c>
      <c r="T67" s="37" t="n">
        <f aca="false">H67*P67*(1+Assumptions!$C$6)</f>
        <v>5.0625</v>
      </c>
      <c r="U67" s="37" t="n">
        <f aca="false">H67*Q67*(1+Assumptions!$C$6)</f>
        <v>10.125</v>
      </c>
      <c r="V67" s="37" t="n">
        <f aca="false">SUM(R67:U67)</f>
        <v>109.65375</v>
      </c>
      <c r="W67" s="37" t="n">
        <f aca="false">IFERROR(V67/H67,0)</f>
        <v>109.65375</v>
      </c>
      <c r="X67" s="34" t="s">
        <v>153</v>
      </c>
      <c r="Y67" s="34" t="s">
        <v>166</v>
      </c>
      <c r="Z67" s="34" t="s">
        <v>167</v>
      </c>
    </row>
    <row r="68" customFormat="false" ht="37.5" hidden="false" customHeight="true" outlineLevel="0" collapsed="false">
      <c r="B68" s="30" t="s">
        <v>245</v>
      </c>
      <c r="C68" s="30" t="s">
        <v>30</v>
      </c>
      <c r="D68" s="30" t="s">
        <v>148</v>
      </c>
      <c r="E68" s="30" t="s">
        <v>181</v>
      </c>
      <c r="F68" s="30" t="s">
        <v>37</v>
      </c>
      <c r="G68" s="30" t="s">
        <v>182</v>
      </c>
      <c r="H68" s="39" t="n">
        <v>3</v>
      </c>
      <c r="I68" s="30" t="s">
        <v>165</v>
      </c>
      <c r="J68" s="30" t="s">
        <v>183</v>
      </c>
      <c r="K68" s="40" t="n">
        <v>85</v>
      </c>
      <c r="L68" s="31" t="n">
        <f aca="false">K68*(1+Assumptions!$C$6)</f>
        <v>86.0625</v>
      </c>
      <c r="M68" s="40" t="n">
        <v>2.5</v>
      </c>
      <c r="N68" s="31" t="s">
        <v>92</v>
      </c>
      <c r="O68" s="31" t="n">
        <f aca="false">IFERROR(VLOOKUP(N68,'Rate Buildups'!$B$6:$H$16,7,FALSE()),0)</f>
        <v>45.6481575</v>
      </c>
      <c r="P68" s="40" t="n">
        <v>5</v>
      </c>
      <c r="Q68" s="40" t="n">
        <v>10</v>
      </c>
      <c r="R68" s="31" t="n">
        <f aca="false">H68*L68</f>
        <v>258.1875</v>
      </c>
      <c r="S68" s="31" t="n">
        <f aca="false">H68*M68*O68</f>
        <v>342.36118125</v>
      </c>
      <c r="T68" s="31" t="n">
        <f aca="false">H68*P68*(1+Assumptions!$C$6)</f>
        <v>15.1875</v>
      </c>
      <c r="U68" s="31" t="n">
        <f aca="false">H68*Q68*(1+Assumptions!$C$6)</f>
        <v>30.375</v>
      </c>
      <c r="V68" s="31" t="n">
        <f aca="false">SUM(R68:U68)</f>
        <v>646.11118125</v>
      </c>
      <c r="W68" s="31" t="n">
        <f aca="false">IFERROR(V68/H68,0)</f>
        <v>215.37039375</v>
      </c>
      <c r="X68" s="30" t="s">
        <v>153</v>
      </c>
      <c r="Y68" s="30" t="s">
        <v>183</v>
      </c>
      <c r="Z68" s="30" t="s">
        <v>184</v>
      </c>
    </row>
    <row r="69" customFormat="false" ht="37.5" hidden="false" customHeight="true" outlineLevel="0" collapsed="false">
      <c r="B69" s="34" t="s">
        <v>246</v>
      </c>
      <c r="C69" s="34" t="s">
        <v>30</v>
      </c>
      <c r="D69" s="34" t="s">
        <v>148</v>
      </c>
      <c r="E69" s="34" t="s">
        <v>181</v>
      </c>
      <c r="F69" s="34" t="s">
        <v>37</v>
      </c>
      <c r="G69" s="34" t="s">
        <v>186</v>
      </c>
      <c r="H69" s="41" t="n">
        <v>3</v>
      </c>
      <c r="I69" s="34" t="s">
        <v>165</v>
      </c>
      <c r="J69" s="34" t="s">
        <v>183</v>
      </c>
      <c r="K69" s="40" t="n">
        <v>160</v>
      </c>
      <c r="L69" s="37" t="n">
        <f aca="false">K69*(1+Assumptions!$C$6)</f>
        <v>162</v>
      </c>
      <c r="M69" s="40" t="n">
        <v>6</v>
      </c>
      <c r="N69" s="37" t="s">
        <v>92</v>
      </c>
      <c r="O69" s="37" t="n">
        <f aca="false">IFERROR(VLOOKUP(N69,'Rate Buildups'!$B$6:$H$16,7,FALSE()),0)</f>
        <v>45.6481575</v>
      </c>
      <c r="P69" s="40" t="n">
        <v>10</v>
      </c>
      <c r="Q69" s="40" t="n">
        <v>20</v>
      </c>
      <c r="R69" s="37" t="n">
        <f aca="false">H69*L69</f>
        <v>486</v>
      </c>
      <c r="S69" s="37" t="n">
        <f aca="false">H69*M69*O69</f>
        <v>821.666835</v>
      </c>
      <c r="T69" s="37" t="n">
        <f aca="false">H69*P69*(1+Assumptions!$C$6)</f>
        <v>30.375</v>
      </c>
      <c r="U69" s="37" t="n">
        <f aca="false">H69*Q69*(1+Assumptions!$C$6)</f>
        <v>60.75</v>
      </c>
      <c r="V69" s="37" t="n">
        <f aca="false">SUM(R69:U69)</f>
        <v>1398.791835</v>
      </c>
      <c r="W69" s="37" t="n">
        <f aca="false">IFERROR(V69/H69,0)</f>
        <v>466.263945</v>
      </c>
      <c r="X69" s="34" t="s">
        <v>153</v>
      </c>
      <c r="Y69" s="34" t="s">
        <v>183</v>
      </c>
      <c r="Z69" s="34" t="s">
        <v>184</v>
      </c>
    </row>
    <row r="70" customFormat="false" ht="37.5" hidden="false" customHeight="true" outlineLevel="0" collapsed="false">
      <c r="B70" s="30" t="s">
        <v>247</v>
      </c>
      <c r="C70" s="30" t="s">
        <v>30</v>
      </c>
      <c r="D70" s="30" t="s">
        <v>148</v>
      </c>
      <c r="E70" s="30" t="s">
        <v>181</v>
      </c>
      <c r="F70" s="30" t="s">
        <v>37</v>
      </c>
      <c r="G70" s="30" t="s">
        <v>188</v>
      </c>
      <c r="H70" s="39" t="n">
        <v>1</v>
      </c>
      <c r="I70" s="30" t="s">
        <v>165</v>
      </c>
      <c r="J70" s="30" t="s">
        <v>183</v>
      </c>
      <c r="K70" s="40" t="n">
        <v>75</v>
      </c>
      <c r="L70" s="31" t="n">
        <f aca="false">K70*(1+Assumptions!$C$6)</f>
        <v>75.9375</v>
      </c>
      <c r="M70" s="40" t="n">
        <v>2</v>
      </c>
      <c r="N70" s="31" t="s">
        <v>92</v>
      </c>
      <c r="O70" s="31" t="n">
        <f aca="false">IFERROR(VLOOKUP(N70,'Rate Buildups'!$B$6:$H$16,7,FALSE()),0)</f>
        <v>45.6481575</v>
      </c>
      <c r="P70" s="40" t="n">
        <v>5</v>
      </c>
      <c r="Q70" s="40" t="n">
        <v>10</v>
      </c>
      <c r="R70" s="31" t="n">
        <f aca="false">H70*L70</f>
        <v>75.9375</v>
      </c>
      <c r="S70" s="31" t="n">
        <f aca="false">H70*M70*O70</f>
        <v>91.296315</v>
      </c>
      <c r="T70" s="31" t="n">
        <f aca="false">H70*P70*(1+Assumptions!$C$6)</f>
        <v>5.0625</v>
      </c>
      <c r="U70" s="31" t="n">
        <f aca="false">H70*Q70*(1+Assumptions!$C$6)</f>
        <v>10.125</v>
      </c>
      <c r="V70" s="31" t="n">
        <f aca="false">SUM(R70:U70)</f>
        <v>182.421315</v>
      </c>
      <c r="W70" s="31" t="n">
        <f aca="false">IFERROR(V70/H70,0)</f>
        <v>182.421315</v>
      </c>
      <c r="X70" s="30" t="s">
        <v>153</v>
      </c>
      <c r="Y70" s="30" t="s">
        <v>183</v>
      </c>
      <c r="Z70" s="30" t="s">
        <v>184</v>
      </c>
    </row>
    <row r="71" customFormat="false" ht="37.5" hidden="false" customHeight="true" outlineLevel="0" collapsed="false">
      <c r="B71" s="34" t="s">
        <v>248</v>
      </c>
      <c r="C71" s="34" t="s">
        <v>30</v>
      </c>
      <c r="D71" s="34" t="s">
        <v>148</v>
      </c>
      <c r="E71" s="34" t="s">
        <v>181</v>
      </c>
      <c r="F71" s="34" t="s">
        <v>37</v>
      </c>
      <c r="G71" s="34" t="s">
        <v>190</v>
      </c>
      <c r="H71" s="41" t="n">
        <v>1</v>
      </c>
      <c r="I71" s="34" t="s">
        <v>165</v>
      </c>
      <c r="J71" s="34" t="s">
        <v>183</v>
      </c>
      <c r="K71" s="40" t="n">
        <v>220</v>
      </c>
      <c r="L71" s="37" t="n">
        <f aca="false">K71*(1+Assumptions!$C$6)</f>
        <v>222.75</v>
      </c>
      <c r="M71" s="40" t="n">
        <v>5</v>
      </c>
      <c r="N71" s="37" t="s">
        <v>92</v>
      </c>
      <c r="O71" s="37" t="n">
        <f aca="false">IFERROR(VLOOKUP(N71,'Rate Buildups'!$B$6:$H$16,7,FALSE()),0)</f>
        <v>45.6481575</v>
      </c>
      <c r="P71" s="40" t="n">
        <v>45</v>
      </c>
      <c r="Q71" s="40" t="n">
        <v>25</v>
      </c>
      <c r="R71" s="37" t="n">
        <f aca="false">H71*L71</f>
        <v>222.75</v>
      </c>
      <c r="S71" s="37" t="n">
        <f aca="false">H71*M71*O71</f>
        <v>228.2407875</v>
      </c>
      <c r="T71" s="37" t="n">
        <f aca="false">H71*P71*(1+Assumptions!$C$6)</f>
        <v>45.5625</v>
      </c>
      <c r="U71" s="37" t="n">
        <f aca="false">H71*Q71*(1+Assumptions!$C$6)</f>
        <v>25.3125</v>
      </c>
      <c r="V71" s="37" t="n">
        <f aca="false">SUM(R71:U71)</f>
        <v>521.8657875</v>
      </c>
      <c r="W71" s="37" t="n">
        <f aca="false">IFERROR(V71/H71,0)</f>
        <v>521.8657875</v>
      </c>
      <c r="X71" s="34" t="s">
        <v>153</v>
      </c>
      <c r="Y71" s="34" t="s">
        <v>183</v>
      </c>
      <c r="Z71" s="34" t="s">
        <v>184</v>
      </c>
    </row>
    <row r="72" customFormat="false" ht="37.5" hidden="false" customHeight="true" outlineLevel="0" collapsed="false">
      <c r="B72" s="30" t="s">
        <v>249</v>
      </c>
      <c r="C72" s="30" t="s">
        <v>30</v>
      </c>
      <c r="D72" s="30" t="s">
        <v>148</v>
      </c>
      <c r="E72" s="30" t="s">
        <v>181</v>
      </c>
      <c r="F72" s="30" t="s">
        <v>37</v>
      </c>
      <c r="G72" s="30" t="s">
        <v>192</v>
      </c>
      <c r="H72" s="39" t="n">
        <v>1</v>
      </c>
      <c r="I72" s="30" t="s">
        <v>165</v>
      </c>
      <c r="J72" s="30" t="s">
        <v>183</v>
      </c>
      <c r="K72" s="40" t="n">
        <v>45</v>
      </c>
      <c r="L72" s="31" t="n">
        <f aca="false">K72*(1+Assumptions!$C$6)</f>
        <v>45.5625</v>
      </c>
      <c r="M72" s="40" t="n">
        <v>1.5</v>
      </c>
      <c r="N72" s="31" t="s">
        <v>92</v>
      </c>
      <c r="O72" s="31" t="n">
        <f aca="false">IFERROR(VLOOKUP(N72,'Rate Buildups'!$B$6:$H$16,7,FALSE()),0)</f>
        <v>45.6481575</v>
      </c>
      <c r="P72" s="40" t="n">
        <v>0</v>
      </c>
      <c r="Q72" s="40" t="n">
        <v>5</v>
      </c>
      <c r="R72" s="31" t="n">
        <f aca="false">H72*L72</f>
        <v>45.5625</v>
      </c>
      <c r="S72" s="31" t="n">
        <f aca="false">H72*M72*O72</f>
        <v>68.47223625</v>
      </c>
      <c r="T72" s="31" t="n">
        <f aca="false">H72*P72*(1+Assumptions!$C$6)</f>
        <v>0</v>
      </c>
      <c r="U72" s="31" t="n">
        <f aca="false">H72*Q72*(1+Assumptions!$C$6)</f>
        <v>5.0625</v>
      </c>
      <c r="V72" s="31" t="n">
        <f aca="false">SUM(R72:U72)</f>
        <v>119.09723625</v>
      </c>
      <c r="W72" s="31" t="n">
        <f aca="false">IFERROR(V72/H72,0)</f>
        <v>119.09723625</v>
      </c>
      <c r="X72" s="30" t="s">
        <v>153</v>
      </c>
      <c r="Y72" s="30" t="s">
        <v>183</v>
      </c>
      <c r="Z72" s="30" t="s">
        <v>184</v>
      </c>
    </row>
    <row r="73" customFormat="false" ht="37.5" hidden="false" customHeight="true" outlineLevel="0" collapsed="false">
      <c r="B73" s="34" t="s">
        <v>250</v>
      </c>
      <c r="C73" s="34" t="s">
        <v>32</v>
      </c>
      <c r="D73" s="34" t="s">
        <v>148</v>
      </c>
      <c r="E73" s="34" t="s">
        <v>194</v>
      </c>
      <c r="F73" s="34" t="s">
        <v>37</v>
      </c>
      <c r="G73" s="34" t="s">
        <v>195</v>
      </c>
      <c r="H73" s="41" t="n">
        <v>1</v>
      </c>
      <c r="I73" s="34" t="s">
        <v>196</v>
      </c>
      <c r="J73" s="34" t="s">
        <v>197</v>
      </c>
      <c r="K73" s="40" t="n">
        <v>25</v>
      </c>
      <c r="L73" s="37" t="n">
        <f aca="false">K73*(1+Assumptions!$C$6)</f>
        <v>25.3125</v>
      </c>
      <c r="M73" s="40" t="n">
        <v>4</v>
      </c>
      <c r="N73" s="37" t="s">
        <v>92</v>
      </c>
      <c r="O73" s="37" t="n">
        <f aca="false">IFERROR(VLOOKUP(N73,'Rate Buildups'!$B$6:$H$16,7,FALSE()),0)</f>
        <v>45.6481575</v>
      </c>
      <c r="P73" s="40" t="n">
        <v>20</v>
      </c>
      <c r="Q73" s="40" t="n">
        <v>75</v>
      </c>
      <c r="R73" s="37" t="n">
        <f aca="false">H73*L73</f>
        <v>25.3125</v>
      </c>
      <c r="S73" s="37" t="n">
        <f aca="false">H73*M73*O73</f>
        <v>182.59263</v>
      </c>
      <c r="T73" s="37" t="n">
        <f aca="false">H73*P73*(1+Assumptions!$C$6)</f>
        <v>20.25</v>
      </c>
      <c r="U73" s="37" t="n">
        <f aca="false">H73*Q73*(1+Assumptions!$C$6)</f>
        <v>75.9375</v>
      </c>
      <c r="V73" s="37" t="n">
        <f aca="false">SUM(R73:U73)</f>
        <v>304.09263</v>
      </c>
      <c r="W73" s="37" t="n">
        <f aca="false">IFERROR(V73/H73,0)</f>
        <v>304.09263</v>
      </c>
      <c r="X73" s="34" t="s">
        <v>153</v>
      </c>
      <c r="Y73" s="34" t="s">
        <v>198</v>
      </c>
      <c r="Z73" s="34" t="s">
        <v>199</v>
      </c>
    </row>
    <row r="74" customFormat="false" ht="37.5" hidden="false" customHeight="true" outlineLevel="0" collapsed="false">
      <c r="B74" s="30" t="s">
        <v>251</v>
      </c>
      <c r="C74" s="30" t="s">
        <v>36</v>
      </c>
      <c r="D74" s="30" t="s">
        <v>252</v>
      </c>
      <c r="E74" s="30" t="s">
        <v>253</v>
      </c>
      <c r="F74" s="30" t="s">
        <v>31</v>
      </c>
      <c r="G74" s="30" t="s">
        <v>254</v>
      </c>
      <c r="H74" s="39" t="n">
        <v>253</v>
      </c>
      <c r="I74" s="30" t="s">
        <v>255</v>
      </c>
      <c r="J74" s="30" t="s">
        <v>256</v>
      </c>
      <c r="K74" s="40" t="n">
        <v>12</v>
      </c>
      <c r="L74" s="31" t="n">
        <f aca="false">K74*(1+Assumptions!$C$6)</f>
        <v>12.15</v>
      </c>
      <c r="M74" s="40" t="n">
        <v>0.24</v>
      </c>
      <c r="N74" s="31" t="s">
        <v>101</v>
      </c>
      <c r="O74" s="31" t="n">
        <f aca="false">IFERROR(VLOOKUP(N74,'Rate Buildups'!$B$6:$H$16,7,FALSE()),0)</f>
        <v>41.6896875</v>
      </c>
      <c r="P74" s="40" t="n">
        <v>0.15</v>
      </c>
      <c r="Q74" s="40" t="n">
        <v>4</v>
      </c>
      <c r="R74" s="31" t="n">
        <f aca="false">H74*L74</f>
        <v>3073.95</v>
      </c>
      <c r="S74" s="31" t="n">
        <f aca="false">H74*M74*O74</f>
        <v>2531.397825</v>
      </c>
      <c r="T74" s="31" t="n">
        <f aca="false">H74*P74*(1+Assumptions!$C$6)</f>
        <v>38.424375</v>
      </c>
      <c r="U74" s="31" t="n">
        <f aca="false">H74*Q74*(1+Assumptions!$C$6)</f>
        <v>1024.65</v>
      </c>
      <c r="V74" s="31" t="n">
        <f aca="false">SUM(R74:U74)</f>
        <v>6668.4222</v>
      </c>
      <c r="W74" s="31" t="n">
        <f aca="false">IFERROR(V74/H74,0)</f>
        <v>26.3574</v>
      </c>
      <c r="X74" s="30" t="s">
        <v>153</v>
      </c>
      <c r="Y74" s="30" t="s">
        <v>256</v>
      </c>
      <c r="Z74" s="30" t="s">
        <v>257</v>
      </c>
    </row>
    <row r="75" customFormat="false" ht="37.5" hidden="false" customHeight="true" outlineLevel="0" collapsed="false">
      <c r="B75" s="34" t="s">
        <v>258</v>
      </c>
      <c r="C75" s="34" t="s">
        <v>36</v>
      </c>
      <c r="D75" s="34" t="s">
        <v>252</v>
      </c>
      <c r="E75" s="34" t="s">
        <v>253</v>
      </c>
      <c r="F75" s="34" t="s">
        <v>31</v>
      </c>
      <c r="G75" s="34" t="s">
        <v>259</v>
      </c>
      <c r="H75" s="41" t="n">
        <v>25</v>
      </c>
      <c r="I75" s="34" t="s">
        <v>255</v>
      </c>
      <c r="J75" s="34" t="s">
        <v>256</v>
      </c>
      <c r="K75" s="40" t="n">
        <v>14</v>
      </c>
      <c r="L75" s="37" t="n">
        <f aca="false">K75*(1+Assumptions!$C$6)</f>
        <v>14.175</v>
      </c>
      <c r="M75" s="40" t="n">
        <v>0.38</v>
      </c>
      <c r="N75" s="37" t="s">
        <v>101</v>
      </c>
      <c r="O75" s="37" t="n">
        <f aca="false">IFERROR(VLOOKUP(N75,'Rate Buildups'!$B$6:$H$16,7,FALSE()),0)</f>
        <v>41.6896875</v>
      </c>
      <c r="P75" s="40" t="n">
        <v>0.15</v>
      </c>
      <c r="Q75" s="40" t="n">
        <v>5</v>
      </c>
      <c r="R75" s="37" t="n">
        <f aca="false">H75*L75</f>
        <v>354.375</v>
      </c>
      <c r="S75" s="37" t="n">
        <f aca="false">H75*M75*O75</f>
        <v>396.05203125</v>
      </c>
      <c r="T75" s="37" t="n">
        <f aca="false">H75*P75*(1+Assumptions!$C$6)</f>
        <v>3.796875</v>
      </c>
      <c r="U75" s="37" t="n">
        <f aca="false">H75*Q75*(1+Assumptions!$C$6)</f>
        <v>126.5625</v>
      </c>
      <c r="V75" s="37" t="n">
        <f aca="false">SUM(R75:U75)</f>
        <v>880.78640625</v>
      </c>
      <c r="W75" s="37" t="n">
        <f aca="false">IFERROR(V75/H75,0)</f>
        <v>35.23145625</v>
      </c>
      <c r="X75" s="34" t="s">
        <v>153</v>
      </c>
      <c r="Y75" s="34" t="s">
        <v>256</v>
      </c>
      <c r="Z75" s="34" t="s">
        <v>257</v>
      </c>
    </row>
    <row r="76" customFormat="false" ht="37.5" hidden="false" customHeight="true" outlineLevel="0" collapsed="false">
      <c r="B76" s="30" t="s">
        <v>260</v>
      </c>
      <c r="C76" s="30" t="s">
        <v>36</v>
      </c>
      <c r="D76" s="30" t="s">
        <v>252</v>
      </c>
      <c r="E76" s="30" t="s">
        <v>253</v>
      </c>
      <c r="F76" s="30" t="s">
        <v>31</v>
      </c>
      <c r="G76" s="30" t="s">
        <v>261</v>
      </c>
      <c r="H76" s="39" t="n">
        <v>105</v>
      </c>
      <c r="I76" s="30" t="s">
        <v>255</v>
      </c>
      <c r="J76" s="30" t="s">
        <v>256</v>
      </c>
      <c r="K76" s="40" t="n">
        <v>13</v>
      </c>
      <c r="L76" s="31" t="n">
        <f aca="false">K76*(1+Assumptions!$C$6)</f>
        <v>13.1625</v>
      </c>
      <c r="M76" s="40" t="n">
        <v>0.24</v>
      </c>
      <c r="N76" s="31" t="s">
        <v>101</v>
      </c>
      <c r="O76" s="31" t="n">
        <f aca="false">IFERROR(VLOOKUP(N76,'Rate Buildups'!$B$6:$H$16,7,FALSE()),0)</f>
        <v>41.6896875</v>
      </c>
      <c r="P76" s="40" t="n">
        <v>0.15</v>
      </c>
      <c r="Q76" s="40" t="n">
        <v>4</v>
      </c>
      <c r="R76" s="31" t="n">
        <f aca="false">H76*L76</f>
        <v>1382.0625</v>
      </c>
      <c r="S76" s="31" t="n">
        <f aca="false">H76*M76*O76</f>
        <v>1050.580125</v>
      </c>
      <c r="T76" s="31" t="n">
        <f aca="false">H76*P76*(1+Assumptions!$C$6)</f>
        <v>15.946875</v>
      </c>
      <c r="U76" s="31" t="n">
        <f aca="false">H76*Q76*(1+Assumptions!$C$6)</f>
        <v>425.25</v>
      </c>
      <c r="V76" s="31" t="n">
        <f aca="false">SUM(R76:U76)</f>
        <v>2873.8395</v>
      </c>
      <c r="W76" s="31" t="n">
        <f aca="false">IFERROR(V76/H76,0)</f>
        <v>27.3699</v>
      </c>
      <c r="X76" s="30" t="s">
        <v>153</v>
      </c>
      <c r="Y76" s="30" t="s">
        <v>256</v>
      </c>
      <c r="Z76" s="30" t="s">
        <v>257</v>
      </c>
    </row>
    <row r="77" customFormat="false" ht="37.5" hidden="false" customHeight="true" outlineLevel="0" collapsed="false">
      <c r="B77" s="34" t="s">
        <v>262</v>
      </c>
      <c r="C77" s="34" t="s">
        <v>36</v>
      </c>
      <c r="D77" s="34" t="s">
        <v>252</v>
      </c>
      <c r="E77" s="34" t="s">
        <v>263</v>
      </c>
      <c r="F77" s="34" t="s">
        <v>31</v>
      </c>
      <c r="G77" s="34" t="s">
        <v>264</v>
      </c>
      <c r="H77" s="41" t="n">
        <v>60</v>
      </c>
      <c r="I77" s="34" t="s">
        <v>255</v>
      </c>
      <c r="J77" s="34" t="s">
        <v>256</v>
      </c>
      <c r="K77" s="40" t="n">
        <v>6.5</v>
      </c>
      <c r="L77" s="37" t="n">
        <f aca="false">K77*(1+Assumptions!$C$6)</f>
        <v>6.58125</v>
      </c>
      <c r="M77" s="40" t="n">
        <v>0.12</v>
      </c>
      <c r="N77" s="37" t="s">
        <v>107</v>
      </c>
      <c r="O77" s="37" t="n">
        <f aca="false">IFERROR(VLOOKUP(N77,'Rate Buildups'!$B$6:$H$16,7,FALSE()),0)</f>
        <v>43.74</v>
      </c>
      <c r="P77" s="40" t="n">
        <v>0.1</v>
      </c>
      <c r="Q77" s="40" t="n">
        <v>1.5</v>
      </c>
      <c r="R77" s="37" t="n">
        <f aca="false">H77*L77</f>
        <v>394.875</v>
      </c>
      <c r="S77" s="37" t="n">
        <f aca="false">H77*M77*O77</f>
        <v>314.928</v>
      </c>
      <c r="T77" s="37" t="n">
        <f aca="false">H77*P77*(1+Assumptions!$C$6)</f>
        <v>6.075</v>
      </c>
      <c r="U77" s="37" t="n">
        <f aca="false">H77*Q77*(1+Assumptions!$C$6)</f>
        <v>91.125</v>
      </c>
      <c r="V77" s="37" t="n">
        <f aca="false">SUM(R77:U77)</f>
        <v>807.003</v>
      </c>
      <c r="W77" s="37" t="n">
        <f aca="false">IFERROR(V77/H77,0)</f>
        <v>13.45005</v>
      </c>
      <c r="X77" s="34" t="s">
        <v>153</v>
      </c>
      <c r="Y77" s="34" t="s">
        <v>256</v>
      </c>
      <c r="Z77" s="34" t="s">
        <v>257</v>
      </c>
    </row>
    <row r="78" customFormat="false" ht="37.5" hidden="false" customHeight="true" outlineLevel="0" collapsed="false">
      <c r="B78" s="30" t="s">
        <v>265</v>
      </c>
      <c r="C78" s="30" t="s">
        <v>36</v>
      </c>
      <c r="D78" s="30" t="s">
        <v>252</v>
      </c>
      <c r="E78" s="30" t="s">
        <v>253</v>
      </c>
      <c r="F78" s="30" t="s">
        <v>33</v>
      </c>
      <c r="G78" s="30" t="s">
        <v>266</v>
      </c>
      <c r="H78" s="39" t="n">
        <v>62</v>
      </c>
      <c r="I78" s="30" t="s">
        <v>255</v>
      </c>
      <c r="J78" s="30" t="s">
        <v>256</v>
      </c>
      <c r="K78" s="40" t="n">
        <v>20</v>
      </c>
      <c r="L78" s="31" t="n">
        <f aca="false">K78*(1+Assumptions!$C$6)</f>
        <v>20.25</v>
      </c>
      <c r="M78" s="40" t="n">
        <v>0.3</v>
      </c>
      <c r="N78" s="31" t="s">
        <v>101</v>
      </c>
      <c r="O78" s="31" t="n">
        <f aca="false">IFERROR(VLOOKUP(N78,'Rate Buildups'!$B$6:$H$16,7,FALSE()),0)</f>
        <v>41.6896875</v>
      </c>
      <c r="P78" s="40" t="n">
        <v>0.2</v>
      </c>
      <c r="Q78" s="40" t="n">
        <v>5</v>
      </c>
      <c r="R78" s="31" t="n">
        <f aca="false">H78*L78</f>
        <v>1255.5</v>
      </c>
      <c r="S78" s="31" t="n">
        <f aca="false">H78*M78*O78</f>
        <v>775.4281875</v>
      </c>
      <c r="T78" s="31" t="n">
        <f aca="false">H78*P78*(1+Assumptions!$C$6)</f>
        <v>12.555</v>
      </c>
      <c r="U78" s="31" t="n">
        <f aca="false">H78*Q78*(1+Assumptions!$C$6)</f>
        <v>313.875</v>
      </c>
      <c r="V78" s="31" t="n">
        <f aca="false">SUM(R78:U78)</f>
        <v>2357.3581875</v>
      </c>
      <c r="W78" s="31" t="n">
        <f aca="false">IFERROR(V78/H78,0)</f>
        <v>38.02190625</v>
      </c>
      <c r="X78" s="30" t="s">
        <v>153</v>
      </c>
      <c r="Y78" s="30" t="s">
        <v>256</v>
      </c>
      <c r="Z78" s="30" t="s">
        <v>257</v>
      </c>
    </row>
    <row r="79" customFormat="false" ht="37.5" hidden="false" customHeight="true" outlineLevel="0" collapsed="false">
      <c r="B79" s="34" t="s">
        <v>267</v>
      </c>
      <c r="C79" s="34" t="s">
        <v>36</v>
      </c>
      <c r="D79" s="34" t="s">
        <v>252</v>
      </c>
      <c r="E79" s="34" t="s">
        <v>253</v>
      </c>
      <c r="F79" s="34" t="s">
        <v>33</v>
      </c>
      <c r="G79" s="34" t="s">
        <v>268</v>
      </c>
      <c r="H79" s="41" t="n">
        <v>25</v>
      </c>
      <c r="I79" s="34" t="s">
        <v>255</v>
      </c>
      <c r="J79" s="34" t="s">
        <v>256</v>
      </c>
      <c r="K79" s="40" t="n">
        <v>14</v>
      </c>
      <c r="L79" s="37" t="n">
        <f aca="false">K79*(1+Assumptions!$C$6)</f>
        <v>14.175</v>
      </c>
      <c r="M79" s="40" t="n">
        <v>0.38</v>
      </c>
      <c r="N79" s="37" t="s">
        <v>101</v>
      </c>
      <c r="O79" s="37" t="n">
        <f aca="false">IFERROR(VLOOKUP(N79,'Rate Buildups'!$B$6:$H$16,7,FALSE()),0)</f>
        <v>41.6896875</v>
      </c>
      <c r="P79" s="40" t="n">
        <v>0.15</v>
      </c>
      <c r="Q79" s="40" t="n">
        <v>5</v>
      </c>
      <c r="R79" s="37" t="n">
        <f aca="false">H79*L79</f>
        <v>354.375</v>
      </c>
      <c r="S79" s="37" t="n">
        <f aca="false">H79*M79*O79</f>
        <v>396.05203125</v>
      </c>
      <c r="T79" s="37" t="n">
        <f aca="false">H79*P79*(1+Assumptions!$C$6)</f>
        <v>3.796875</v>
      </c>
      <c r="U79" s="37" t="n">
        <f aca="false">H79*Q79*(1+Assumptions!$C$6)</f>
        <v>126.5625</v>
      </c>
      <c r="V79" s="37" t="n">
        <f aca="false">SUM(R79:U79)</f>
        <v>880.78640625</v>
      </c>
      <c r="W79" s="37" t="n">
        <f aca="false">IFERROR(V79/H79,0)</f>
        <v>35.23145625</v>
      </c>
      <c r="X79" s="34" t="s">
        <v>153</v>
      </c>
      <c r="Y79" s="34" t="s">
        <v>256</v>
      </c>
      <c r="Z79" s="34" t="s">
        <v>257</v>
      </c>
    </row>
    <row r="80" customFormat="false" ht="37.5" hidden="false" customHeight="true" outlineLevel="0" collapsed="false">
      <c r="B80" s="30" t="s">
        <v>269</v>
      </c>
      <c r="C80" s="30" t="s">
        <v>36</v>
      </c>
      <c r="D80" s="30" t="s">
        <v>252</v>
      </c>
      <c r="E80" s="30" t="s">
        <v>253</v>
      </c>
      <c r="F80" s="30" t="s">
        <v>33</v>
      </c>
      <c r="G80" s="30" t="s">
        <v>270</v>
      </c>
      <c r="H80" s="39" t="n">
        <v>75</v>
      </c>
      <c r="I80" s="30" t="s">
        <v>255</v>
      </c>
      <c r="J80" s="30" t="s">
        <v>256</v>
      </c>
      <c r="K80" s="40" t="n">
        <v>11</v>
      </c>
      <c r="L80" s="31" t="n">
        <f aca="false">K80*(1+Assumptions!$C$6)</f>
        <v>11.1375</v>
      </c>
      <c r="M80" s="40" t="n">
        <v>0.34</v>
      </c>
      <c r="N80" s="31" t="s">
        <v>101</v>
      </c>
      <c r="O80" s="31" t="n">
        <f aca="false">IFERROR(VLOOKUP(N80,'Rate Buildups'!$B$6:$H$16,7,FALSE()),0)</f>
        <v>41.6896875</v>
      </c>
      <c r="P80" s="40" t="n">
        <v>0.15</v>
      </c>
      <c r="Q80" s="40" t="n">
        <v>5</v>
      </c>
      <c r="R80" s="31" t="n">
        <f aca="false">H80*L80</f>
        <v>835.3125</v>
      </c>
      <c r="S80" s="31" t="n">
        <f aca="false">H80*M80*O80</f>
        <v>1063.08703125</v>
      </c>
      <c r="T80" s="31" t="n">
        <f aca="false">H80*P80*(1+Assumptions!$C$6)</f>
        <v>11.390625</v>
      </c>
      <c r="U80" s="31" t="n">
        <f aca="false">H80*Q80*(1+Assumptions!$C$6)</f>
        <v>379.6875</v>
      </c>
      <c r="V80" s="31" t="n">
        <f aca="false">SUM(R80:U80)</f>
        <v>2289.47765625</v>
      </c>
      <c r="W80" s="31" t="n">
        <f aca="false">IFERROR(V80/H80,0)</f>
        <v>30.52636875</v>
      </c>
      <c r="X80" s="30" t="s">
        <v>153</v>
      </c>
      <c r="Y80" s="30" t="s">
        <v>256</v>
      </c>
      <c r="Z80" s="30" t="s">
        <v>257</v>
      </c>
    </row>
    <row r="81" customFormat="false" ht="37.5" hidden="false" customHeight="true" outlineLevel="0" collapsed="false">
      <c r="B81" s="34" t="s">
        <v>271</v>
      </c>
      <c r="C81" s="34" t="s">
        <v>36</v>
      </c>
      <c r="D81" s="34" t="s">
        <v>252</v>
      </c>
      <c r="E81" s="34" t="s">
        <v>253</v>
      </c>
      <c r="F81" s="34" t="s">
        <v>33</v>
      </c>
      <c r="G81" s="34" t="s">
        <v>272</v>
      </c>
      <c r="H81" s="41" t="n">
        <v>18</v>
      </c>
      <c r="I81" s="34" t="s">
        <v>255</v>
      </c>
      <c r="J81" s="34" t="s">
        <v>256</v>
      </c>
      <c r="K81" s="40" t="n">
        <v>18</v>
      </c>
      <c r="L81" s="37" t="n">
        <f aca="false">K81*(1+Assumptions!$C$6)</f>
        <v>18.225</v>
      </c>
      <c r="M81" s="40" t="n">
        <v>0.42</v>
      </c>
      <c r="N81" s="37" t="s">
        <v>101</v>
      </c>
      <c r="O81" s="37" t="n">
        <f aca="false">IFERROR(VLOOKUP(N81,'Rate Buildups'!$B$6:$H$16,7,FALSE()),0)</f>
        <v>41.6896875</v>
      </c>
      <c r="P81" s="40" t="n">
        <v>0.15</v>
      </c>
      <c r="Q81" s="40" t="n">
        <v>5</v>
      </c>
      <c r="R81" s="37" t="n">
        <f aca="false">H81*L81</f>
        <v>328.05</v>
      </c>
      <c r="S81" s="37" t="n">
        <f aca="false">H81*M81*O81</f>
        <v>315.1740375</v>
      </c>
      <c r="T81" s="37" t="n">
        <f aca="false">H81*P81*(1+Assumptions!$C$6)</f>
        <v>2.73375</v>
      </c>
      <c r="U81" s="37" t="n">
        <f aca="false">H81*Q81*(1+Assumptions!$C$6)</f>
        <v>91.125</v>
      </c>
      <c r="V81" s="37" t="n">
        <f aca="false">SUM(R81:U81)</f>
        <v>737.0827875</v>
      </c>
      <c r="W81" s="37" t="n">
        <f aca="false">IFERROR(V81/H81,0)</f>
        <v>40.94904375</v>
      </c>
      <c r="X81" s="34" t="s">
        <v>153</v>
      </c>
      <c r="Y81" s="34" t="s">
        <v>256</v>
      </c>
      <c r="Z81" s="34" t="s">
        <v>257</v>
      </c>
    </row>
    <row r="82" customFormat="false" ht="37.5" hidden="false" customHeight="true" outlineLevel="0" collapsed="false">
      <c r="B82" s="30" t="s">
        <v>273</v>
      </c>
      <c r="C82" s="30" t="s">
        <v>36</v>
      </c>
      <c r="D82" s="30" t="s">
        <v>252</v>
      </c>
      <c r="E82" s="30" t="s">
        <v>253</v>
      </c>
      <c r="F82" s="30" t="s">
        <v>33</v>
      </c>
      <c r="G82" s="30" t="s">
        <v>274</v>
      </c>
      <c r="H82" s="39" t="n">
        <v>128</v>
      </c>
      <c r="I82" s="30" t="s">
        <v>255</v>
      </c>
      <c r="J82" s="30" t="s">
        <v>256</v>
      </c>
      <c r="K82" s="40" t="n">
        <v>13</v>
      </c>
      <c r="L82" s="31" t="n">
        <f aca="false">K82*(1+Assumptions!$C$6)</f>
        <v>13.1625</v>
      </c>
      <c r="M82" s="40" t="n">
        <v>0.26</v>
      </c>
      <c r="N82" s="31" t="s">
        <v>101</v>
      </c>
      <c r="O82" s="31" t="n">
        <f aca="false">IFERROR(VLOOKUP(N82,'Rate Buildups'!$B$6:$H$16,7,FALSE()),0)</f>
        <v>41.6896875</v>
      </c>
      <c r="P82" s="40" t="n">
        <v>0.15</v>
      </c>
      <c r="Q82" s="40" t="n">
        <v>4</v>
      </c>
      <c r="R82" s="31" t="n">
        <f aca="false">H82*L82</f>
        <v>1684.8</v>
      </c>
      <c r="S82" s="31" t="n">
        <f aca="false">H82*M82*O82</f>
        <v>1387.4328</v>
      </c>
      <c r="T82" s="31" t="n">
        <f aca="false">H82*P82*(1+Assumptions!$C$6)</f>
        <v>19.44</v>
      </c>
      <c r="U82" s="31" t="n">
        <f aca="false">H82*Q82*(1+Assumptions!$C$6)</f>
        <v>518.4</v>
      </c>
      <c r="V82" s="31" t="n">
        <f aca="false">SUM(R82:U82)</f>
        <v>3610.0728</v>
      </c>
      <c r="W82" s="31" t="n">
        <f aca="false">IFERROR(V82/H82,0)</f>
        <v>28.20369375</v>
      </c>
      <c r="X82" s="30" t="s">
        <v>153</v>
      </c>
      <c r="Y82" s="30" t="s">
        <v>256</v>
      </c>
      <c r="Z82" s="30" t="s">
        <v>257</v>
      </c>
    </row>
    <row r="83" customFormat="false" ht="37.5" hidden="false" customHeight="true" outlineLevel="0" collapsed="false">
      <c r="B83" s="34" t="s">
        <v>275</v>
      </c>
      <c r="C83" s="34" t="s">
        <v>36</v>
      </c>
      <c r="D83" s="34" t="s">
        <v>252</v>
      </c>
      <c r="E83" s="34" t="s">
        <v>253</v>
      </c>
      <c r="F83" s="34" t="s">
        <v>33</v>
      </c>
      <c r="G83" s="34" t="s">
        <v>276</v>
      </c>
      <c r="H83" s="41" t="n">
        <v>16</v>
      </c>
      <c r="I83" s="34" t="s">
        <v>255</v>
      </c>
      <c r="J83" s="34" t="s">
        <v>256</v>
      </c>
      <c r="K83" s="40" t="n">
        <v>24</v>
      </c>
      <c r="L83" s="37" t="n">
        <f aca="false">K83*(1+Assumptions!$C$6)</f>
        <v>24.3</v>
      </c>
      <c r="M83" s="40" t="n">
        <v>0.48</v>
      </c>
      <c r="N83" s="37" t="s">
        <v>101</v>
      </c>
      <c r="O83" s="37" t="n">
        <f aca="false">IFERROR(VLOOKUP(N83,'Rate Buildups'!$B$6:$H$16,7,FALSE()),0)</f>
        <v>41.6896875</v>
      </c>
      <c r="P83" s="40" t="n">
        <v>0.15</v>
      </c>
      <c r="Q83" s="40" t="n">
        <v>5</v>
      </c>
      <c r="R83" s="37" t="n">
        <f aca="false">H83*L83</f>
        <v>388.8</v>
      </c>
      <c r="S83" s="37" t="n">
        <f aca="false">H83*M83*O83</f>
        <v>320.1768</v>
      </c>
      <c r="T83" s="37" t="n">
        <f aca="false">H83*P83*(1+Assumptions!$C$6)</f>
        <v>2.43</v>
      </c>
      <c r="U83" s="37" t="n">
        <f aca="false">H83*Q83*(1+Assumptions!$C$6)</f>
        <v>81</v>
      </c>
      <c r="V83" s="37" t="n">
        <f aca="false">SUM(R83:U83)</f>
        <v>792.4068</v>
      </c>
      <c r="W83" s="37" t="n">
        <f aca="false">IFERROR(V83/H83,0)</f>
        <v>49.525425</v>
      </c>
      <c r="X83" s="34" t="s">
        <v>153</v>
      </c>
      <c r="Y83" s="34" t="s">
        <v>256</v>
      </c>
      <c r="Z83" s="34" t="s">
        <v>257</v>
      </c>
    </row>
    <row r="84" customFormat="false" ht="37.5" hidden="false" customHeight="true" outlineLevel="0" collapsed="false">
      <c r="B84" s="30" t="s">
        <v>277</v>
      </c>
      <c r="C84" s="30" t="s">
        <v>36</v>
      </c>
      <c r="D84" s="30" t="s">
        <v>252</v>
      </c>
      <c r="E84" s="30" t="s">
        <v>253</v>
      </c>
      <c r="F84" s="30" t="s">
        <v>33</v>
      </c>
      <c r="G84" s="30" t="s">
        <v>278</v>
      </c>
      <c r="H84" s="39" t="n">
        <v>128</v>
      </c>
      <c r="I84" s="30" t="s">
        <v>255</v>
      </c>
      <c r="J84" s="30" t="s">
        <v>256</v>
      </c>
      <c r="K84" s="40" t="n">
        <v>12</v>
      </c>
      <c r="L84" s="31" t="n">
        <f aca="false">K84*(1+Assumptions!$C$6)</f>
        <v>12.15</v>
      </c>
      <c r="M84" s="40" t="n">
        <v>0.24</v>
      </c>
      <c r="N84" s="31" t="s">
        <v>101</v>
      </c>
      <c r="O84" s="31" t="n">
        <f aca="false">IFERROR(VLOOKUP(N84,'Rate Buildups'!$B$6:$H$16,7,FALSE()),0)</f>
        <v>41.6896875</v>
      </c>
      <c r="P84" s="40" t="n">
        <v>0.15</v>
      </c>
      <c r="Q84" s="40" t="n">
        <v>4</v>
      </c>
      <c r="R84" s="31" t="n">
        <f aca="false">H84*L84</f>
        <v>1555.2</v>
      </c>
      <c r="S84" s="31" t="n">
        <f aca="false">H84*M84*O84</f>
        <v>1280.7072</v>
      </c>
      <c r="T84" s="31" t="n">
        <f aca="false">H84*P84*(1+Assumptions!$C$6)</f>
        <v>19.44</v>
      </c>
      <c r="U84" s="31" t="n">
        <f aca="false">H84*Q84*(1+Assumptions!$C$6)</f>
        <v>518.4</v>
      </c>
      <c r="V84" s="31" t="n">
        <f aca="false">SUM(R84:U84)</f>
        <v>3373.7472</v>
      </c>
      <c r="W84" s="31" t="n">
        <f aca="false">IFERROR(V84/H84,0)</f>
        <v>26.3574</v>
      </c>
      <c r="X84" s="30" t="s">
        <v>153</v>
      </c>
      <c r="Y84" s="30" t="s">
        <v>256</v>
      </c>
      <c r="Z84" s="30" t="s">
        <v>257</v>
      </c>
    </row>
    <row r="85" customFormat="false" ht="37.5" hidden="false" customHeight="true" outlineLevel="0" collapsed="false">
      <c r="B85" s="34" t="s">
        <v>279</v>
      </c>
      <c r="C85" s="34" t="s">
        <v>36</v>
      </c>
      <c r="D85" s="34" t="s">
        <v>252</v>
      </c>
      <c r="E85" s="34" t="s">
        <v>280</v>
      </c>
      <c r="F85" s="34" t="s">
        <v>33</v>
      </c>
      <c r="G85" s="34" t="s">
        <v>281</v>
      </c>
      <c r="H85" s="41" t="n">
        <v>255</v>
      </c>
      <c r="I85" s="34" t="s">
        <v>255</v>
      </c>
      <c r="J85" s="34" t="s">
        <v>256</v>
      </c>
      <c r="K85" s="40" t="n">
        <v>12</v>
      </c>
      <c r="L85" s="37" t="n">
        <f aca="false">K85*(1+Assumptions!$C$6)</f>
        <v>12.15</v>
      </c>
      <c r="M85" s="40" t="n">
        <v>0.2</v>
      </c>
      <c r="N85" s="37" t="s">
        <v>104</v>
      </c>
      <c r="O85" s="37" t="n">
        <f aca="false">IFERROR(VLOOKUP(N85,'Rate Buildups'!$B$6:$H$16,7,FALSE()),0)</f>
        <v>49.2075</v>
      </c>
      <c r="P85" s="40" t="n">
        <v>0.1</v>
      </c>
      <c r="Q85" s="40" t="n">
        <v>2.5</v>
      </c>
      <c r="R85" s="37" t="n">
        <f aca="false">H85*L85</f>
        <v>3098.25</v>
      </c>
      <c r="S85" s="37" t="n">
        <f aca="false">H85*M85*O85</f>
        <v>2509.5825</v>
      </c>
      <c r="T85" s="37" t="n">
        <f aca="false">H85*P85*(1+Assumptions!$C$6)</f>
        <v>25.81875</v>
      </c>
      <c r="U85" s="37" t="n">
        <f aca="false">H85*Q85*(1+Assumptions!$C$6)</f>
        <v>645.46875</v>
      </c>
      <c r="V85" s="37" t="n">
        <f aca="false">SUM(R85:U85)</f>
        <v>6279.12</v>
      </c>
      <c r="W85" s="37" t="n">
        <f aca="false">IFERROR(V85/H85,0)</f>
        <v>24.624</v>
      </c>
      <c r="X85" s="34" t="s">
        <v>153</v>
      </c>
      <c r="Y85" s="34" t="s">
        <v>256</v>
      </c>
      <c r="Z85" s="34" t="s">
        <v>257</v>
      </c>
    </row>
    <row r="86" customFormat="false" ht="37.5" hidden="false" customHeight="true" outlineLevel="0" collapsed="false">
      <c r="B86" s="30" t="s">
        <v>282</v>
      </c>
      <c r="C86" s="30" t="s">
        <v>36</v>
      </c>
      <c r="D86" s="30" t="s">
        <v>252</v>
      </c>
      <c r="E86" s="30" t="s">
        <v>253</v>
      </c>
      <c r="F86" s="30" t="s">
        <v>35</v>
      </c>
      <c r="G86" s="30" t="s">
        <v>283</v>
      </c>
      <c r="H86" s="39" t="n">
        <v>91</v>
      </c>
      <c r="I86" s="30" t="s">
        <v>255</v>
      </c>
      <c r="J86" s="30" t="s">
        <v>256</v>
      </c>
      <c r="K86" s="40" t="n">
        <v>11</v>
      </c>
      <c r="L86" s="31" t="n">
        <f aca="false">K86*(1+Assumptions!$C$6)</f>
        <v>11.1375</v>
      </c>
      <c r="M86" s="40" t="n">
        <v>0.24</v>
      </c>
      <c r="N86" s="31" t="s">
        <v>101</v>
      </c>
      <c r="O86" s="31" t="n">
        <f aca="false">IFERROR(VLOOKUP(N86,'Rate Buildups'!$B$6:$H$16,7,FALSE()),0)</f>
        <v>41.6896875</v>
      </c>
      <c r="P86" s="40" t="n">
        <v>0.15</v>
      </c>
      <c r="Q86" s="40" t="n">
        <v>4</v>
      </c>
      <c r="R86" s="31" t="n">
        <f aca="false">H86*L86</f>
        <v>1013.5125</v>
      </c>
      <c r="S86" s="31" t="n">
        <f aca="false">H86*M86*O86</f>
        <v>910.502775</v>
      </c>
      <c r="T86" s="31" t="n">
        <f aca="false">H86*P86*(1+Assumptions!$C$6)</f>
        <v>13.820625</v>
      </c>
      <c r="U86" s="31" t="n">
        <f aca="false">H86*Q86*(1+Assumptions!$C$6)</f>
        <v>368.55</v>
      </c>
      <c r="V86" s="31" t="n">
        <f aca="false">SUM(R86:U86)</f>
        <v>2306.3859</v>
      </c>
      <c r="W86" s="31" t="n">
        <f aca="false">IFERROR(V86/H86,0)</f>
        <v>25.3449</v>
      </c>
      <c r="X86" s="30" t="s">
        <v>153</v>
      </c>
      <c r="Y86" s="30" t="s">
        <v>256</v>
      </c>
      <c r="Z86" s="30" t="s">
        <v>257</v>
      </c>
    </row>
    <row r="87" customFormat="false" ht="37.5" hidden="false" customHeight="true" outlineLevel="0" collapsed="false">
      <c r="B87" s="34" t="s">
        <v>284</v>
      </c>
      <c r="C87" s="34" t="s">
        <v>36</v>
      </c>
      <c r="D87" s="34" t="s">
        <v>252</v>
      </c>
      <c r="E87" s="34" t="s">
        <v>253</v>
      </c>
      <c r="F87" s="34" t="s">
        <v>35</v>
      </c>
      <c r="G87" s="34" t="s">
        <v>285</v>
      </c>
      <c r="H87" s="41" t="n">
        <v>16</v>
      </c>
      <c r="I87" s="34" t="s">
        <v>255</v>
      </c>
      <c r="J87" s="34" t="s">
        <v>256</v>
      </c>
      <c r="K87" s="40" t="n">
        <v>14</v>
      </c>
      <c r="L87" s="37" t="n">
        <f aca="false">K87*(1+Assumptions!$C$6)</f>
        <v>14.175</v>
      </c>
      <c r="M87" s="40" t="n">
        <v>0.38</v>
      </c>
      <c r="N87" s="37" t="s">
        <v>101</v>
      </c>
      <c r="O87" s="37" t="n">
        <f aca="false">IFERROR(VLOOKUP(N87,'Rate Buildups'!$B$6:$H$16,7,FALSE()),0)</f>
        <v>41.6896875</v>
      </c>
      <c r="P87" s="40" t="n">
        <v>0.15</v>
      </c>
      <c r="Q87" s="40" t="n">
        <v>5</v>
      </c>
      <c r="R87" s="37" t="n">
        <f aca="false">H87*L87</f>
        <v>226.8</v>
      </c>
      <c r="S87" s="37" t="n">
        <f aca="false">H87*M87*O87</f>
        <v>253.4733</v>
      </c>
      <c r="T87" s="37" t="n">
        <f aca="false">H87*P87*(1+Assumptions!$C$6)</f>
        <v>2.43</v>
      </c>
      <c r="U87" s="37" t="n">
        <f aca="false">H87*Q87*(1+Assumptions!$C$6)</f>
        <v>81</v>
      </c>
      <c r="V87" s="37" t="n">
        <f aca="false">SUM(R87:U87)</f>
        <v>563.7033</v>
      </c>
      <c r="W87" s="37" t="n">
        <f aca="false">IFERROR(V87/H87,0)</f>
        <v>35.23145625</v>
      </c>
      <c r="X87" s="34" t="s">
        <v>153</v>
      </c>
      <c r="Y87" s="34" t="s">
        <v>256</v>
      </c>
      <c r="Z87" s="34" t="s">
        <v>257</v>
      </c>
    </row>
    <row r="88" customFormat="false" ht="37.5" hidden="false" customHeight="true" outlineLevel="0" collapsed="false">
      <c r="B88" s="30" t="s">
        <v>286</v>
      </c>
      <c r="C88" s="30" t="s">
        <v>36</v>
      </c>
      <c r="D88" s="30" t="s">
        <v>252</v>
      </c>
      <c r="E88" s="30" t="s">
        <v>253</v>
      </c>
      <c r="F88" s="30" t="s">
        <v>35</v>
      </c>
      <c r="G88" s="30" t="s">
        <v>287</v>
      </c>
      <c r="H88" s="39" t="n">
        <v>456</v>
      </c>
      <c r="I88" s="30" t="s">
        <v>255</v>
      </c>
      <c r="J88" s="30" t="s">
        <v>256</v>
      </c>
      <c r="K88" s="40" t="n">
        <v>13</v>
      </c>
      <c r="L88" s="31" t="n">
        <f aca="false">K88*(1+Assumptions!$C$6)</f>
        <v>13.1625</v>
      </c>
      <c r="M88" s="40" t="n">
        <v>0.24</v>
      </c>
      <c r="N88" s="31" t="s">
        <v>101</v>
      </c>
      <c r="O88" s="31" t="n">
        <f aca="false">IFERROR(VLOOKUP(N88,'Rate Buildups'!$B$6:$H$16,7,FALSE()),0)</f>
        <v>41.6896875</v>
      </c>
      <c r="P88" s="40" t="n">
        <v>0.15</v>
      </c>
      <c r="Q88" s="40" t="n">
        <v>4</v>
      </c>
      <c r="R88" s="31" t="n">
        <f aca="false">H88*L88</f>
        <v>6002.1</v>
      </c>
      <c r="S88" s="31" t="n">
        <f aca="false">H88*M88*O88</f>
        <v>4562.5194</v>
      </c>
      <c r="T88" s="31" t="n">
        <f aca="false">H88*P88*(1+Assumptions!$C$6)</f>
        <v>69.255</v>
      </c>
      <c r="U88" s="31" t="n">
        <f aca="false">H88*Q88*(1+Assumptions!$C$6)</f>
        <v>1846.8</v>
      </c>
      <c r="V88" s="31" t="n">
        <f aca="false">SUM(R88:U88)</f>
        <v>12480.6744</v>
      </c>
      <c r="W88" s="31" t="n">
        <f aca="false">IFERROR(V88/H88,0)</f>
        <v>27.3699</v>
      </c>
      <c r="X88" s="30" t="s">
        <v>153</v>
      </c>
      <c r="Y88" s="30" t="s">
        <v>256</v>
      </c>
      <c r="Z88" s="30" t="s">
        <v>257</v>
      </c>
    </row>
    <row r="89" customFormat="false" ht="37.5" hidden="false" customHeight="true" outlineLevel="0" collapsed="false">
      <c r="B89" s="34" t="s">
        <v>288</v>
      </c>
      <c r="C89" s="34" t="s">
        <v>36</v>
      </c>
      <c r="D89" s="34" t="s">
        <v>252</v>
      </c>
      <c r="E89" s="34" t="s">
        <v>253</v>
      </c>
      <c r="F89" s="34" t="s">
        <v>35</v>
      </c>
      <c r="G89" s="34" t="s">
        <v>289</v>
      </c>
      <c r="H89" s="41" t="n">
        <v>31</v>
      </c>
      <c r="I89" s="34" t="s">
        <v>255</v>
      </c>
      <c r="J89" s="34" t="s">
        <v>256</v>
      </c>
      <c r="K89" s="40" t="n">
        <v>11</v>
      </c>
      <c r="L89" s="37" t="n">
        <f aca="false">K89*(1+Assumptions!$C$6)</f>
        <v>11.1375</v>
      </c>
      <c r="M89" s="40" t="n">
        <v>0.24</v>
      </c>
      <c r="N89" s="37" t="s">
        <v>101</v>
      </c>
      <c r="O89" s="37" t="n">
        <f aca="false">IFERROR(VLOOKUP(N89,'Rate Buildups'!$B$6:$H$16,7,FALSE()),0)</f>
        <v>41.6896875</v>
      </c>
      <c r="P89" s="40" t="n">
        <v>0.15</v>
      </c>
      <c r="Q89" s="40" t="n">
        <v>4</v>
      </c>
      <c r="R89" s="37" t="n">
        <f aca="false">H89*L89</f>
        <v>345.2625</v>
      </c>
      <c r="S89" s="37" t="n">
        <f aca="false">H89*M89*O89</f>
        <v>310.171275</v>
      </c>
      <c r="T89" s="37" t="n">
        <f aca="false">H89*P89*(1+Assumptions!$C$6)</f>
        <v>4.708125</v>
      </c>
      <c r="U89" s="37" t="n">
        <f aca="false">H89*Q89*(1+Assumptions!$C$6)</f>
        <v>125.55</v>
      </c>
      <c r="V89" s="37" t="n">
        <f aca="false">SUM(R89:U89)</f>
        <v>785.6919</v>
      </c>
      <c r="W89" s="37" t="n">
        <f aca="false">IFERROR(V89/H89,0)</f>
        <v>25.3449</v>
      </c>
      <c r="X89" s="34" t="s">
        <v>153</v>
      </c>
      <c r="Y89" s="34" t="s">
        <v>256</v>
      </c>
      <c r="Z89" s="34" t="s">
        <v>257</v>
      </c>
    </row>
    <row r="90" customFormat="false" ht="37.5" hidden="false" customHeight="true" outlineLevel="0" collapsed="false">
      <c r="B90" s="30" t="s">
        <v>290</v>
      </c>
      <c r="C90" s="30" t="s">
        <v>36</v>
      </c>
      <c r="D90" s="30" t="s">
        <v>252</v>
      </c>
      <c r="E90" s="30" t="s">
        <v>253</v>
      </c>
      <c r="F90" s="30" t="s">
        <v>35</v>
      </c>
      <c r="G90" s="30" t="s">
        <v>291</v>
      </c>
      <c r="H90" s="39" t="n">
        <v>397</v>
      </c>
      <c r="I90" s="30" t="s">
        <v>255</v>
      </c>
      <c r="J90" s="30" t="s">
        <v>256</v>
      </c>
      <c r="K90" s="40" t="n">
        <v>12</v>
      </c>
      <c r="L90" s="31" t="n">
        <f aca="false">K90*(1+Assumptions!$C$6)</f>
        <v>12.15</v>
      </c>
      <c r="M90" s="40" t="n">
        <v>0.26</v>
      </c>
      <c r="N90" s="31" t="s">
        <v>101</v>
      </c>
      <c r="O90" s="31" t="n">
        <f aca="false">IFERROR(VLOOKUP(N90,'Rate Buildups'!$B$6:$H$16,7,FALSE()),0)</f>
        <v>41.6896875</v>
      </c>
      <c r="P90" s="40" t="n">
        <v>0.15</v>
      </c>
      <c r="Q90" s="40" t="n">
        <v>4</v>
      </c>
      <c r="R90" s="31" t="n">
        <f aca="false">H90*L90</f>
        <v>4823.55</v>
      </c>
      <c r="S90" s="31" t="n">
        <f aca="false">H90*M90*O90</f>
        <v>4303.20954375</v>
      </c>
      <c r="T90" s="31" t="n">
        <f aca="false">H90*P90*(1+Assumptions!$C$6)</f>
        <v>60.294375</v>
      </c>
      <c r="U90" s="31" t="n">
        <f aca="false">H90*Q90*(1+Assumptions!$C$6)</f>
        <v>1607.85</v>
      </c>
      <c r="V90" s="31" t="n">
        <f aca="false">SUM(R90:U90)</f>
        <v>10794.90391875</v>
      </c>
      <c r="W90" s="31" t="n">
        <f aca="false">IFERROR(V90/H90,0)</f>
        <v>27.19119375</v>
      </c>
      <c r="X90" s="30" t="s">
        <v>153</v>
      </c>
      <c r="Y90" s="30" t="s">
        <v>256</v>
      </c>
      <c r="Z90" s="30" t="s">
        <v>257</v>
      </c>
    </row>
    <row r="91" customFormat="false" ht="37.5" hidden="false" customHeight="true" outlineLevel="0" collapsed="false">
      <c r="B91" s="34" t="s">
        <v>292</v>
      </c>
      <c r="C91" s="34" t="s">
        <v>36</v>
      </c>
      <c r="D91" s="34" t="s">
        <v>252</v>
      </c>
      <c r="E91" s="34" t="s">
        <v>253</v>
      </c>
      <c r="F91" s="34" t="s">
        <v>37</v>
      </c>
      <c r="G91" s="34" t="s">
        <v>293</v>
      </c>
      <c r="H91" s="41" t="n">
        <v>80</v>
      </c>
      <c r="I91" s="34" t="s">
        <v>255</v>
      </c>
      <c r="J91" s="34" t="s">
        <v>256</v>
      </c>
      <c r="K91" s="40" t="n">
        <v>9</v>
      </c>
      <c r="L91" s="37" t="n">
        <f aca="false">K91*(1+Assumptions!$C$6)</f>
        <v>9.1125</v>
      </c>
      <c r="M91" s="40" t="n">
        <v>0.3</v>
      </c>
      <c r="N91" s="37" t="s">
        <v>101</v>
      </c>
      <c r="O91" s="37" t="n">
        <f aca="false">IFERROR(VLOOKUP(N91,'Rate Buildups'!$B$6:$H$16,7,FALSE()),0)</f>
        <v>41.6896875</v>
      </c>
      <c r="P91" s="40" t="n">
        <v>0.15</v>
      </c>
      <c r="Q91" s="40" t="n">
        <v>4</v>
      </c>
      <c r="R91" s="37" t="n">
        <f aca="false">H91*L91</f>
        <v>729</v>
      </c>
      <c r="S91" s="37" t="n">
        <f aca="false">H91*M91*O91</f>
        <v>1000.5525</v>
      </c>
      <c r="T91" s="37" t="n">
        <f aca="false">H91*P91*(1+Assumptions!$C$6)</f>
        <v>12.15</v>
      </c>
      <c r="U91" s="37" t="n">
        <f aca="false">H91*Q91*(1+Assumptions!$C$6)</f>
        <v>324</v>
      </c>
      <c r="V91" s="37" t="n">
        <f aca="false">SUM(R91:U91)</f>
        <v>2065.7025</v>
      </c>
      <c r="W91" s="37" t="n">
        <f aca="false">IFERROR(V91/H91,0)</f>
        <v>25.82128125</v>
      </c>
      <c r="X91" s="34" t="s">
        <v>153</v>
      </c>
      <c r="Y91" s="34" t="s">
        <v>256</v>
      </c>
      <c r="Z91" s="34" t="s">
        <v>257</v>
      </c>
    </row>
    <row r="92" customFormat="false" ht="37.5" hidden="false" customHeight="true" outlineLevel="0" collapsed="false">
      <c r="B92" s="30" t="s">
        <v>294</v>
      </c>
      <c r="C92" s="30" t="s">
        <v>36</v>
      </c>
      <c r="D92" s="30" t="s">
        <v>252</v>
      </c>
      <c r="E92" s="30" t="s">
        <v>253</v>
      </c>
      <c r="F92" s="30" t="s">
        <v>37</v>
      </c>
      <c r="G92" s="30" t="s">
        <v>295</v>
      </c>
      <c r="H92" s="39" t="n">
        <v>60</v>
      </c>
      <c r="I92" s="30" t="s">
        <v>255</v>
      </c>
      <c r="J92" s="30" t="s">
        <v>256</v>
      </c>
      <c r="K92" s="40" t="n">
        <v>9</v>
      </c>
      <c r="L92" s="31" t="n">
        <f aca="false">K92*(1+Assumptions!$C$6)</f>
        <v>9.1125</v>
      </c>
      <c r="M92" s="40" t="n">
        <v>0.34</v>
      </c>
      <c r="N92" s="31" t="s">
        <v>101</v>
      </c>
      <c r="O92" s="31" t="n">
        <f aca="false">IFERROR(VLOOKUP(N92,'Rate Buildups'!$B$6:$H$16,7,FALSE()),0)</f>
        <v>41.6896875</v>
      </c>
      <c r="P92" s="40" t="n">
        <v>0.15</v>
      </c>
      <c r="Q92" s="40" t="n">
        <v>5</v>
      </c>
      <c r="R92" s="31" t="n">
        <f aca="false">H92*L92</f>
        <v>546.75</v>
      </c>
      <c r="S92" s="31" t="n">
        <f aca="false">H92*M92*O92</f>
        <v>850.469625</v>
      </c>
      <c r="T92" s="31" t="n">
        <f aca="false">H92*P92*(1+Assumptions!$C$6)</f>
        <v>9.1125</v>
      </c>
      <c r="U92" s="31" t="n">
        <f aca="false">H92*Q92*(1+Assumptions!$C$6)</f>
        <v>303.75</v>
      </c>
      <c r="V92" s="31" t="n">
        <f aca="false">SUM(R92:U92)</f>
        <v>1710.082125</v>
      </c>
      <c r="W92" s="31" t="n">
        <f aca="false">IFERROR(V92/H92,0)</f>
        <v>28.50136875</v>
      </c>
      <c r="X92" s="30" t="s">
        <v>153</v>
      </c>
      <c r="Y92" s="30" t="s">
        <v>256</v>
      </c>
      <c r="Z92" s="30" t="s">
        <v>257</v>
      </c>
    </row>
    <row r="93" customFormat="false" ht="37.5" hidden="false" customHeight="true" outlineLevel="0" collapsed="false">
      <c r="B93" s="34" t="s">
        <v>296</v>
      </c>
      <c r="C93" s="34" t="s">
        <v>36</v>
      </c>
      <c r="D93" s="34" t="s">
        <v>252</v>
      </c>
      <c r="E93" s="34" t="s">
        <v>253</v>
      </c>
      <c r="F93" s="34" t="s">
        <v>37</v>
      </c>
      <c r="G93" s="34" t="s">
        <v>297</v>
      </c>
      <c r="H93" s="41" t="n">
        <v>20</v>
      </c>
      <c r="I93" s="34" t="s">
        <v>255</v>
      </c>
      <c r="J93" s="34" t="s">
        <v>256</v>
      </c>
      <c r="K93" s="40" t="n">
        <v>22</v>
      </c>
      <c r="L93" s="37" t="n">
        <f aca="false">K93*(1+Assumptions!$C$6)</f>
        <v>22.275</v>
      </c>
      <c r="M93" s="40" t="n">
        <v>0.46</v>
      </c>
      <c r="N93" s="37" t="s">
        <v>101</v>
      </c>
      <c r="O93" s="37" t="n">
        <f aca="false">IFERROR(VLOOKUP(N93,'Rate Buildups'!$B$6:$H$16,7,FALSE()),0)</f>
        <v>41.6896875</v>
      </c>
      <c r="P93" s="40" t="n">
        <v>0.15</v>
      </c>
      <c r="Q93" s="40" t="n">
        <v>5</v>
      </c>
      <c r="R93" s="37" t="n">
        <f aca="false">H93*L93</f>
        <v>445.5</v>
      </c>
      <c r="S93" s="37" t="n">
        <f aca="false">H93*M93*O93</f>
        <v>383.545125</v>
      </c>
      <c r="T93" s="37" t="n">
        <f aca="false">H93*P93*(1+Assumptions!$C$6)</f>
        <v>3.0375</v>
      </c>
      <c r="U93" s="37" t="n">
        <f aca="false">H93*Q93*(1+Assumptions!$C$6)</f>
        <v>101.25</v>
      </c>
      <c r="V93" s="37" t="n">
        <f aca="false">SUM(R93:U93)</f>
        <v>933.332625</v>
      </c>
      <c r="W93" s="37" t="n">
        <f aca="false">IFERROR(V93/H93,0)</f>
        <v>46.66663125</v>
      </c>
      <c r="X93" s="34" t="s">
        <v>153</v>
      </c>
      <c r="Y93" s="34" t="s">
        <v>256</v>
      </c>
      <c r="Z93" s="34" t="s">
        <v>257</v>
      </c>
    </row>
    <row r="94" customFormat="false" ht="37.5" hidden="false" customHeight="true" outlineLevel="0" collapsed="false">
      <c r="B94" s="30" t="s">
        <v>298</v>
      </c>
      <c r="C94" s="30" t="s">
        <v>36</v>
      </c>
      <c r="D94" s="30" t="s">
        <v>252</v>
      </c>
      <c r="E94" s="30" t="s">
        <v>253</v>
      </c>
      <c r="F94" s="30" t="s">
        <v>37</v>
      </c>
      <c r="G94" s="30" t="s">
        <v>299</v>
      </c>
      <c r="H94" s="39" t="n">
        <v>246</v>
      </c>
      <c r="I94" s="30" t="s">
        <v>255</v>
      </c>
      <c r="J94" s="30" t="s">
        <v>256</v>
      </c>
      <c r="K94" s="40" t="n">
        <v>13</v>
      </c>
      <c r="L94" s="31" t="n">
        <f aca="false">K94*(1+Assumptions!$C$6)</f>
        <v>13.1625</v>
      </c>
      <c r="M94" s="40" t="n">
        <v>0.26</v>
      </c>
      <c r="N94" s="31" t="s">
        <v>101</v>
      </c>
      <c r="O94" s="31" t="n">
        <f aca="false">IFERROR(VLOOKUP(N94,'Rate Buildups'!$B$6:$H$16,7,FALSE()),0)</f>
        <v>41.6896875</v>
      </c>
      <c r="P94" s="40" t="n">
        <v>0.15</v>
      </c>
      <c r="Q94" s="40" t="n">
        <v>4</v>
      </c>
      <c r="R94" s="31" t="n">
        <f aca="false">H94*L94</f>
        <v>3237.975</v>
      </c>
      <c r="S94" s="31" t="n">
        <f aca="false">H94*M94*O94</f>
        <v>2666.4724125</v>
      </c>
      <c r="T94" s="31" t="n">
        <f aca="false">H94*P94*(1+Assumptions!$C$6)</f>
        <v>37.36125</v>
      </c>
      <c r="U94" s="31" t="n">
        <f aca="false">H94*Q94*(1+Assumptions!$C$6)</f>
        <v>996.3</v>
      </c>
      <c r="V94" s="31" t="n">
        <f aca="false">SUM(R94:U94)</f>
        <v>6938.1086625</v>
      </c>
      <c r="W94" s="31" t="n">
        <f aca="false">IFERROR(V94/H94,0)</f>
        <v>28.20369375</v>
      </c>
      <c r="X94" s="30" t="s">
        <v>153</v>
      </c>
      <c r="Y94" s="30" t="s">
        <v>256</v>
      </c>
      <c r="Z94" s="30" t="s">
        <v>257</v>
      </c>
    </row>
    <row r="95" customFormat="false" ht="37.5" hidden="false" customHeight="true" outlineLevel="0" collapsed="false">
      <c r="B95" s="34" t="s">
        <v>300</v>
      </c>
      <c r="C95" s="34" t="s">
        <v>36</v>
      </c>
      <c r="D95" s="34" t="s">
        <v>252</v>
      </c>
      <c r="E95" s="34" t="s">
        <v>280</v>
      </c>
      <c r="F95" s="34" t="s">
        <v>37</v>
      </c>
      <c r="G95" s="34" t="s">
        <v>301</v>
      </c>
      <c r="H95" s="41" t="n">
        <v>1529</v>
      </c>
      <c r="I95" s="34" t="s">
        <v>255</v>
      </c>
      <c r="J95" s="34" t="s">
        <v>256</v>
      </c>
      <c r="K95" s="40" t="n">
        <v>11</v>
      </c>
      <c r="L95" s="37" t="n">
        <f aca="false">K95*(1+Assumptions!$C$6)</f>
        <v>11.1375</v>
      </c>
      <c r="M95" s="40" t="n">
        <v>0.2</v>
      </c>
      <c r="N95" s="37" t="s">
        <v>104</v>
      </c>
      <c r="O95" s="37" t="n">
        <f aca="false">IFERROR(VLOOKUP(N95,'Rate Buildups'!$B$6:$H$16,7,FALSE()),0)</f>
        <v>49.2075</v>
      </c>
      <c r="P95" s="40" t="n">
        <v>0.1</v>
      </c>
      <c r="Q95" s="40" t="n">
        <v>2.5</v>
      </c>
      <c r="R95" s="37" t="n">
        <f aca="false">H95*L95</f>
        <v>17029.2375</v>
      </c>
      <c r="S95" s="37" t="n">
        <f aca="false">H95*M95*O95</f>
        <v>15047.6535</v>
      </c>
      <c r="T95" s="37" t="n">
        <f aca="false">H95*P95*(1+Assumptions!$C$6)</f>
        <v>154.81125</v>
      </c>
      <c r="U95" s="37" t="n">
        <f aca="false">H95*Q95*(1+Assumptions!$C$6)</f>
        <v>3870.28125</v>
      </c>
      <c r="V95" s="37" t="n">
        <f aca="false">SUM(R95:U95)</f>
        <v>36101.9835</v>
      </c>
      <c r="W95" s="37" t="n">
        <f aca="false">IFERROR(V95/H95,0)</f>
        <v>23.6115</v>
      </c>
      <c r="X95" s="34" t="s">
        <v>302</v>
      </c>
      <c r="Y95" s="34" t="s">
        <v>256</v>
      </c>
      <c r="Z95" s="34" t="s">
        <v>257</v>
      </c>
    </row>
    <row r="96" customFormat="false" ht="37.5" hidden="false" customHeight="true" outlineLevel="0" collapsed="false">
      <c r="B96" s="30" t="s">
        <v>303</v>
      </c>
      <c r="C96" s="30" t="s">
        <v>36</v>
      </c>
      <c r="D96" s="30" t="s">
        <v>304</v>
      </c>
      <c r="E96" s="30" t="s">
        <v>305</v>
      </c>
      <c r="F96" s="30" t="s">
        <v>306</v>
      </c>
      <c r="G96" s="30" t="s">
        <v>307</v>
      </c>
      <c r="H96" s="39" t="n">
        <v>700</v>
      </c>
      <c r="I96" s="30" t="s">
        <v>255</v>
      </c>
      <c r="J96" s="30" t="s">
        <v>256</v>
      </c>
      <c r="K96" s="40" t="n">
        <v>11</v>
      </c>
      <c r="L96" s="31" t="n">
        <f aca="false">K96*(1+Assumptions!$C$6)</f>
        <v>11.1375</v>
      </c>
      <c r="M96" s="40" t="n">
        <v>0.42</v>
      </c>
      <c r="N96" s="31" t="s">
        <v>114</v>
      </c>
      <c r="O96" s="31" t="n">
        <f aca="false">IFERROR(VLOOKUP(N96,'Rate Buildups'!$B$6:$H$16,7,FALSE()),0)</f>
        <v>44.013375</v>
      </c>
      <c r="P96" s="40" t="n">
        <v>5</v>
      </c>
      <c r="Q96" s="40" t="n">
        <v>8</v>
      </c>
      <c r="R96" s="31" t="n">
        <f aca="false">H96*L96</f>
        <v>7796.25</v>
      </c>
      <c r="S96" s="31" t="n">
        <f aca="false">H96*M96*O96</f>
        <v>12939.93225</v>
      </c>
      <c r="T96" s="31" t="n">
        <f aca="false">H96*P96*(1+Assumptions!$C$6)</f>
        <v>3543.75</v>
      </c>
      <c r="U96" s="31" t="n">
        <f aca="false">H96*Q96*(1+Assumptions!$C$6)</f>
        <v>5670</v>
      </c>
      <c r="V96" s="31" t="n">
        <f aca="false">SUM(R96:U96)</f>
        <v>29949.93225</v>
      </c>
      <c r="W96" s="31" t="n">
        <f aca="false">IFERROR(V96/H96,0)</f>
        <v>42.7856175</v>
      </c>
      <c r="X96" s="30" t="s">
        <v>302</v>
      </c>
      <c r="Y96" s="30" t="s">
        <v>256</v>
      </c>
      <c r="Z96" s="30" t="s">
        <v>308</v>
      </c>
    </row>
    <row r="97" customFormat="false" ht="37.5" hidden="false" customHeight="true" outlineLevel="0" collapsed="false">
      <c r="B97" s="34" t="s">
        <v>309</v>
      </c>
      <c r="C97" s="34" t="s">
        <v>36</v>
      </c>
      <c r="D97" s="34" t="s">
        <v>252</v>
      </c>
      <c r="E97" s="34" t="s">
        <v>310</v>
      </c>
      <c r="F97" s="34" t="s">
        <v>37</v>
      </c>
      <c r="G97" s="34" t="s">
        <v>311</v>
      </c>
      <c r="H97" s="41" t="n">
        <v>82</v>
      </c>
      <c r="I97" s="34" t="s">
        <v>255</v>
      </c>
      <c r="J97" s="34" t="s">
        <v>256</v>
      </c>
      <c r="K97" s="40" t="n">
        <v>75</v>
      </c>
      <c r="L97" s="37" t="n">
        <f aca="false">K97*(1+Assumptions!$C$6)</f>
        <v>75.9375</v>
      </c>
      <c r="M97" s="40" t="n">
        <v>0.25</v>
      </c>
      <c r="N97" s="37" t="s">
        <v>95</v>
      </c>
      <c r="O97" s="37" t="n">
        <f aca="false">IFERROR(VLOOKUP(N97,'Rate Buildups'!$B$6:$H$16,7,FALSE()),0)</f>
        <v>51.94125</v>
      </c>
      <c r="P97" s="40" t="n">
        <v>0.25</v>
      </c>
      <c r="Q97" s="40" t="n">
        <v>5</v>
      </c>
      <c r="R97" s="37" t="n">
        <f aca="false">H97*L97</f>
        <v>6226.875</v>
      </c>
      <c r="S97" s="37" t="n">
        <f aca="false">H97*M97*O97</f>
        <v>1064.795625</v>
      </c>
      <c r="T97" s="37" t="n">
        <f aca="false">H97*P97*(1+Assumptions!$C$6)</f>
        <v>20.75625</v>
      </c>
      <c r="U97" s="37" t="n">
        <f aca="false">H97*Q97*(1+Assumptions!$C$6)</f>
        <v>415.125</v>
      </c>
      <c r="V97" s="37" t="n">
        <f aca="false">SUM(R97:U97)</f>
        <v>7727.551875</v>
      </c>
      <c r="W97" s="37" t="n">
        <f aca="false">IFERROR(V97/H97,0)</f>
        <v>94.2384375</v>
      </c>
      <c r="X97" s="34" t="s">
        <v>153</v>
      </c>
      <c r="Y97" s="34" t="s">
        <v>256</v>
      </c>
      <c r="Z97" s="34" t="s">
        <v>257</v>
      </c>
    </row>
    <row r="98" customFormat="false" ht="37.5" hidden="false" customHeight="true" outlineLevel="0" collapsed="false">
      <c r="B98" s="30" t="s">
        <v>312</v>
      </c>
      <c r="C98" s="30" t="s">
        <v>36</v>
      </c>
      <c r="D98" s="30" t="s">
        <v>313</v>
      </c>
      <c r="E98" s="30" t="s">
        <v>314</v>
      </c>
      <c r="F98" s="30" t="s">
        <v>306</v>
      </c>
      <c r="G98" s="30" t="s">
        <v>315</v>
      </c>
      <c r="H98" s="39" t="n">
        <v>700</v>
      </c>
      <c r="I98" s="30" t="s">
        <v>255</v>
      </c>
      <c r="J98" s="30" t="s">
        <v>316</v>
      </c>
      <c r="K98" s="40" t="n">
        <v>0.75</v>
      </c>
      <c r="L98" s="31" t="n">
        <f aca="false">K98*(1+Assumptions!$C$6)</f>
        <v>0.759375</v>
      </c>
      <c r="M98" s="40" t="n">
        <v>0.05</v>
      </c>
      <c r="N98" s="31" t="s">
        <v>114</v>
      </c>
      <c r="O98" s="31" t="n">
        <f aca="false">IFERROR(VLOOKUP(N98,'Rate Buildups'!$B$6:$H$16,7,FALSE()),0)</f>
        <v>44.013375</v>
      </c>
      <c r="P98" s="40" t="n">
        <v>0.05</v>
      </c>
      <c r="Q98" s="40" t="n">
        <v>0.25</v>
      </c>
      <c r="R98" s="31" t="n">
        <f aca="false">H98*L98</f>
        <v>531.5625</v>
      </c>
      <c r="S98" s="31" t="n">
        <f aca="false">H98*M98*O98</f>
        <v>1540.468125</v>
      </c>
      <c r="T98" s="31" t="n">
        <f aca="false">H98*P98*(1+Assumptions!$C$6)</f>
        <v>35.4375</v>
      </c>
      <c r="U98" s="31" t="n">
        <f aca="false">H98*Q98*(1+Assumptions!$C$6)</f>
        <v>177.1875</v>
      </c>
      <c r="V98" s="31" t="n">
        <f aca="false">SUM(R98:U98)</f>
        <v>2284.655625</v>
      </c>
      <c r="W98" s="31" t="n">
        <f aca="false">IFERROR(V98/H98,0)</f>
        <v>3.26379375</v>
      </c>
      <c r="X98" s="30" t="s">
        <v>153</v>
      </c>
      <c r="Y98" s="30" t="s">
        <v>316</v>
      </c>
      <c r="Z98" s="30" t="s">
        <v>317</v>
      </c>
    </row>
    <row r="99" customFormat="false" ht="37.5" hidden="false" customHeight="true" outlineLevel="0" collapsed="false">
      <c r="B99" s="34" t="s">
        <v>318</v>
      </c>
      <c r="C99" s="34" t="s">
        <v>36</v>
      </c>
      <c r="D99" s="34" t="s">
        <v>319</v>
      </c>
      <c r="E99" s="34" t="s">
        <v>320</v>
      </c>
      <c r="F99" s="34" t="s">
        <v>306</v>
      </c>
      <c r="G99" s="34" t="s">
        <v>321</v>
      </c>
      <c r="H99" s="41" t="n">
        <v>11.8827160493827</v>
      </c>
      <c r="I99" s="34" t="s">
        <v>322</v>
      </c>
      <c r="J99" s="34" t="s">
        <v>323</v>
      </c>
      <c r="K99" s="40" t="n">
        <v>0</v>
      </c>
      <c r="L99" s="37" t="n">
        <f aca="false">K99*(1+Assumptions!$C$6)</f>
        <v>0</v>
      </c>
      <c r="M99" s="40" t="n">
        <v>0</v>
      </c>
      <c r="N99" s="37" t="s">
        <v>114</v>
      </c>
      <c r="O99" s="37" t="n">
        <f aca="false">IFERROR(VLOOKUP(N99,'Rate Buildups'!$B$6:$H$16,7,FALSE()),0)</f>
        <v>44.013375</v>
      </c>
      <c r="P99" s="40" t="n">
        <v>0</v>
      </c>
      <c r="Q99" s="40" t="n">
        <v>0</v>
      </c>
      <c r="R99" s="37" t="n">
        <f aca="false">H99*L99</f>
        <v>0</v>
      </c>
      <c r="S99" s="37" t="n">
        <f aca="false">H99*M99*O99</f>
        <v>0</v>
      </c>
      <c r="T99" s="37" t="n">
        <f aca="false">H99*P99*(1+Assumptions!$C$6)</f>
        <v>0</v>
      </c>
      <c r="U99" s="37" t="n">
        <f aca="false">H99*Q99*(1+Assumptions!$C$6)</f>
        <v>0</v>
      </c>
      <c r="V99" s="37" t="n">
        <f aca="false">SUM(R99:U99)</f>
        <v>0</v>
      </c>
      <c r="W99" s="37" t="n">
        <f aca="false">IFERROR(V99/H99,0)</f>
        <v>0</v>
      </c>
      <c r="X99" s="34" t="s">
        <v>324</v>
      </c>
      <c r="Y99" s="34" t="s">
        <v>323</v>
      </c>
      <c r="Z99" s="34" t="s">
        <v>325</v>
      </c>
    </row>
    <row r="100" customFormat="false" ht="37.5" hidden="false" customHeight="true" outlineLevel="0" collapsed="false">
      <c r="B100" s="30" t="s">
        <v>326</v>
      </c>
      <c r="C100" s="30" t="s">
        <v>30</v>
      </c>
      <c r="D100" s="30" t="s">
        <v>327</v>
      </c>
      <c r="E100" s="30" t="s">
        <v>328</v>
      </c>
      <c r="F100" s="30" t="s">
        <v>306</v>
      </c>
      <c r="G100" s="30" t="s">
        <v>329</v>
      </c>
      <c r="H100" s="39" t="n">
        <v>1</v>
      </c>
      <c r="I100" s="30" t="s">
        <v>330</v>
      </c>
      <c r="J100" s="30" t="s">
        <v>331</v>
      </c>
      <c r="K100" s="40" t="n">
        <v>0</v>
      </c>
      <c r="L100" s="31" t="n">
        <f aca="false">K100*(1+Assumptions!$C$6)</f>
        <v>0</v>
      </c>
      <c r="M100" s="40" t="n">
        <v>240</v>
      </c>
      <c r="N100" s="31" t="s">
        <v>120</v>
      </c>
      <c r="O100" s="31" t="n">
        <f aca="false">IFERROR(VLOOKUP(N100,'Rate Buildups'!$B$6:$H$16,7,FALSE()),0)</f>
        <v>69.8625</v>
      </c>
      <c r="P100" s="40" t="n">
        <v>4000</v>
      </c>
      <c r="Q100" s="40" t="n">
        <v>12000</v>
      </c>
      <c r="R100" s="31" t="n">
        <f aca="false">H100*L100</f>
        <v>0</v>
      </c>
      <c r="S100" s="31" t="n">
        <f aca="false">H100*M100*O100</f>
        <v>16767</v>
      </c>
      <c r="T100" s="31" t="n">
        <f aca="false">H100*P100*(1+Assumptions!$C$6)</f>
        <v>4050</v>
      </c>
      <c r="U100" s="31" t="n">
        <f aca="false">H100*Q100*(1+Assumptions!$C$6)</f>
        <v>12150</v>
      </c>
      <c r="V100" s="31" t="n">
        <f aca="false">SUM(R100:U100)</f>
        <v>32967</v>
      </c>
      <c r="W100" s="31" t="n">
        <f aca="false">IFERROR(V100/H100,0)</f>
        <v>32967</v>
      </c>
      <c r="X100" s="30" t="s">
        <v>153</v>
      </c>
      <c r="Y100" s="30" t="s">
        <v>332</v>
      </c>
      <c r="Z100" s="30" t="s">
        <v>331</v>
      </c>
    </row>
    <row r="101" customFormat="false" ht="37.5" hidden="false" customHeight="true" outlineLevel="0" collapsed="false">
      <c r="B101" s="34" t="s">
        <v>333</v>
      </c>
      <c r="C101" s="34" t="s">
        <v>30</v>
      </c>
      <c r="D101" s="34" t="s">
        <v>327</v>
      </c>
      <c r="E101" s="34" t="s">
        <v>328</v>
      </c>
      <c r="F101" s="34" t="s">
        <v>306</v>
      </c>
      <c r="G101" s="34" t="s">
        <v>334</v>
      </c>
      <c r="H101" s="41" t="n">
        <v>4</v>
      </c>
      <c r="I101" s="34" t="s">
        <v>335</v>
      </c>
      <c r="J101" s="34" t="s">
        <v>331</v>
      </c>
      <c r="K101" s="40" t="n">
        <v>400</v>
      </c>
      <c r="L101" s="37" t="n">
        <f aca="false">K101*(1+Assumptions!$C$6)</f>
        <v>405</v>
      </c>
      <c r="M101" s="40" t="n">
        <v>12</v>
      </c>
      <c r="N101" s="37" t="s">
        <v>98</v>
      </c>
      <c r="O101" s="37" t="n">
        <f aca="false">IFERROR(VLOOKUP(N101,'Rate Buildups'!$B$6:$H$16,7,FALSE()),0)</f>
        <v>39.639375</v>
      </c>
      <c r="P101" s="40" t="n">
        <v>25</v>
      </c>
      <c r="Q101" s="40" t="n">
        <v>150</v>
      </c>
      <c r="R101" s="37" t="n">
        <f aca="false">H101*L101</f>
        <v>1620</v>
      </c>
      <c r="S101" s="37" t="n">
        <f aca="false">H101*M101*O101</f>
        <v>1902.69</v>
      </c>
      <c r="T101" s="37" t="n">
        <f aca="false">H101*P101*(1+Assumptions!$C$6)</f>
        <v>101.25</v>
      </c>
      <c r="U101" s="37" t="n">
        <f aca="false">H101*Q101*(1+Assumptions!$C$6)</f>
        <v>607.5</v>
      </c>
      <c r="V101" s="37" t="n">
        <f aca="false">SUM(R101:U101)</f>
        <v>4231.44</v>
      </c>
      <c r="W101" s="37" t="n">
        <f aca="false">IFERROR(V101/H101,0)</f>
        <v>1057.86</v>
      </c>
      <c r="X101" s="34" t="s">
        <v>153</v>
      </c>
      <c r="Y101" s="34" t="s">
        <v>336</v>
      </c>
      <c r="Z101" s="34" t="s">
        <v>331</v>
      </c>
    </row>
    <row r="102" customFormat="false" ht="37.5" hidden="false" customHeight="true" outlineLevel="0" collapsed="false">
      <c r="B102" s="30" t="s">
        <v>337</v>
      </c>
      <c r="C102" s="30" t="s">
        <v>30</v>
      </c>
      <c r="D102" s="30" t="s">
        <v>327</v>
      </c>
      <c r="E102" s="30" t="s">
        <v>338</v>
      </c>
      <c r="F102" s="30" t="s">
        <v>306</v>
      </c>
      <c r="G102" s="30" t="s">
        <v>339</v>
      </c>
      <c r="H102" s="39" t="n">
        <v>1000</v>
      </c>
      <c r="I102" s="30" t="s">
        <v>255</v>
      </c>
      <c r="J102" s="30" t="s">
        <v>331</v>
      </c>
      <c r="K102" s="40" t="n">
        <v>1.5</v>
      </c>
      <c r="L102" s="31" t="n">
        <f aca="false">K102*(1+Assumptions!$C$6)</f>
        <v>1.51875</v>
      </c>
      <c r="M102" s="40" t="n">
        <v>0.03</v>
      </c>
      <c r="N102" s="31" t="s">
        <v>98</v>
      </c>
      <c r="O102" s="31" t="n">
        <f aca="false">IFERROR(VLOOKUP(N102,'Rate Buildups'!$B$6:$H$16,7,FALSE()),0)</f>
        <v>39.639375</v>
      </c>
      <c r="P102" s="40" t="n">
        <v>0.1</v>
      </c>
      <c r="Q102" s="40" t="n">
        <v>2.5</v>
      </c>
      <c r="R102" s="31" t="n">
        <f aca="false">H102*L102</f>
        <v>1518.75</v>
      </c>
      <c r="S102" s="31" t="n">
        <f aca="false">H102*M102*O102</f>
        <v>1189.18125</v>
      </c>
      <c r="T102" s="31" t="n">
        <f aca="false">H102*P102*(1+Assumptions!$C$6)</f>
        <v>101.25</v>
      </c>
      <c r="U102" s="31" t="n">
        <f aca="false">H102*Q102*(1+Assumptions!$C$6)</f>
        <v>2531.25</v>
      </c>
      <c r="V102" s="31" t="n">
        <f aca="false">SUM(R102:U102)</f>
        <v>5340.43125</v>
      </c>
      <c r="W102" s="31" t="n">
        <f aca="false">IFERROR(V102/H102,0)</f>
        <v>5.34043125</v>
      </c>
      <c r="X102" s="30" t="s">
        <v>153</v>
      </c>
      <c r="Y102" s="30" t="s">
        <v>340</v>
      </c>
      <c r="Z102" s="30" t="s">
        <v>331</v>
      </c>
    </row>
    <row r="103" customFormat="false" ht="37.5" hidden="false" customHeight="true" outlineLevel="0" collapsed="false">
      <c r="B103" s="34" t="s">
        <v>341</v>
      </c>
      <c r="C103" s="34" t="s">
        <v>30</v>
      </c>
      <c r="D103" s="34" t="s">
        <v>327</v>
      </c>
      <c r="E103" s="34" t="s">
        <v>328</v>
      </c>
      <c r="F103" s="34" t="s">
        <v>306</v>
      </c>
      <c r="G103" s="34" t="s">
        <v>342</v>
      </c>
      <c r="H103" s="41" t="n">
        <v>4</v>
      </c>
      <c r="I103" s="34" t="s">
        <v>335</v>
      </c>
      <c r="J103" s="34" t="s">
        <v>331</v>
      </c>
      <c r="K103" s="40" t="n">
        <v>25</v>
      </c>
      <c r="L103" s="37" t="n">
        <f aca="false">K103*(1+Assumptions!$C$6)</f>
        <v>25.3125</v>
      </c>
      <c r="M103" s="40" t="n">
        <v>3</v>
      </c>
      <c r="N103" s="37" t="s">
        <v>117</v>
      </c>
      <c r="O103" s="37" t="n">
        <f aca="false">IFERROR(VLOOKUP(N103,'Rate Buildups'!$B$6:$H$16,7,FALSE()),0)</f>
        <v>59.23125</v>
      </c>
      <c r="P103" s="40" t="n">
        <v>0</v>
      </c>
      <c r="Q103" s="40" t="n">
        <v>50</v>
      </c>
      <c r="R103" s="37" t="n">
        <f aca="false">H103*L103</f>
        <v>101.25</v>
      </c>
      <c r="S103" s="37" t="n">
        <f aca="false">H103*M103*O103</f>
        <v>710.775</v>
      </c>
      <c r="T103" s="37" t="n">
        <f aca="false">H103*P103*(1+Assumptions!$C$6)</f>
        <v>0</v>
      </c>
      <c r="U103" s="37" t="n">
        <f aca="false">H103*Q103*(1+Assumptions!$C$6)</f>
        <v>202.5</v>
      </c>
      <c r="V103" s="37" t="n">
        <f aca="false">SUM(R103:U103)</f>
        <v>1014.525</v>
      </c>
      <c r="W103" s="37" t="n">
        <f aca="false">IFERROR(V103/H103,0)</f>
        <v>253.63125</v>
      </c>
      <c r="X103" s="34" t="s">
        <v>343</v>
      </c>
      <c r="Y103" s="34" t="s">
        <v>344</v>
      </c>
      <c r="Z103" s="34" t="s">
        <v>331</v>
      </c>
    </row>
    <row r="104" customFormat="false" ht="37.5" hidden="false" customHeight="true" outlineLevel="0" collapsed="false">
      <c r="B104" s="30" t="s">
        <v>345</v>
      </c>
      <c r="C104" s="30" t="s">
        <v>30</v>
      </c>
      <c r="D104" s="30" t="s">
        <v>327</v>
      </c>
      <c r="E104" s="30" t="s">
        <v>328</v>
      </c>
      <c r="F104" s="30" t="s">
        <v>306</v>
      </c>
      <c r="G104" s="30" t="s">
        <v>346</v>
      </c>
      <c r="H104" s="39" t="n">
        <v>1</v>
      </c>
      <c r="I104" s="30" t="s">
        <v>330</v>
      </c>
      <c r="J104" s="30" t="s">
        <v>331</v>
      </c>
      <c r="K104" s="40" t="n">
        <v>0</v>
      </c>
      <c r="L104" s="31" t="n">
        <f aca="false">K104*(1+Assumptions!$C$6)</f>
        <v>0</v>
      </c>
      <c r="M104" s="40" t="n">
        <v>40</v>
      </c>
      <c r="N104" s="31" t="s">
        <v>120</v>
      </c>
      <c r="O104" s="31" t="n">
        <f aca="false">IFERROR(VLOOKUP(N104,'Rate Buildups'!$B$6:$H$16,7,FALSE()),0)</f>
        <v>69.8625</v>
      </c>
      <c r="P104" s="40" t="n">
        <v>0</v>
      </c>
      <c r="Q104" s="40" t="n">
        <v>250</v>
      </c>
      <c r="R104" s="31" t="n">
        <f aca="false">H104*L104</f>
        <v>0</v>
      </c>
      <c r="S104" s="31" t="n">
        <f aca="false">H104*M104*O104</f>
        <v>2794.5</v>
      </c>
      <c r="T104" s="31" t="n">
        <f aca="false">H104*P104*(1+Assumptions!$C$6)</f>
        <v>0</v>
      </c>
      <c r="U104" s="31" t="n">
        <f aca="false">H104*Q104*(1+Assumptions!$C$6)</f>
        <v>253.125</v>
      </c>
      <c r="V104" s="31" t="n">
        <f aca="false">SUM(R104:U104)</f>
        <v>3047.625</v>
      </c>
      <c r="W104" s="31" t="n">
        <f aca="false">IFERROR(V104/H104,0)</f>
        <v>3047.625</v>
      </c>
      <c r="X104" s="30" t="s">
        <v>153</v>
      </c>
      <c r="Y104" s="30" t="s">
        <v>347</v>
      </c>
      <c r="Z104" s="30" t="s">
        <v>331</v>
      </c>
    </row>
    <row r="105" customFormat="false" ht="37.5" hidden="false" customHeight="true" outlineLevel="0" collapsed="false">
      <c r="B105" s="34" t="s">
        <v>348</v>
      </c>
      <c r="C105" s="34" t="s">
        <v>30</v>
      </c>
      <c r="D105" s="34" t="s">
        <v>327</v>
      </c>
      <c r="E105" s="34" t="s">
        <v>328</v>
      </c>
      <c r="F105" s="34" t="s">
        <v>306</v>
      </c>
      <c r="G105" s="34" t="s">
        <v>349</v>
      </c>
      <c r="H105" s="41" t="n">
        <v>1</v>
      </c>
      <c r="I105" s="34" t="s">
        <v>330</v>
      </c>
      <c r="J105" s="34" t="s">
        <v>331</v>
      </c>
      <c r="K105" s="40" t="n">
        <v>1500</v>
      </c>
      <c r="L105" s="37" t="n">
        <f aca="false">K105*(1+Assumptions!$C$6)</f>
        <v>1518.75</v>
      </c>
      <c r="M105" s="40" t="n">
        <v>24</v>
      </c>
      <c r="N105" s="37" t="s">
        <v>95</v>
      </c>
      <c r="O105" s="37" t="n">
        <f aca="false">IFERROR(VLOOKUP(N105,'Rate Buildups'!$B$6:$H$16,7,FALSE()),0)</f>
        <v>51.94125</v>
      </c>
      <c r="P105" s="40" t="n">
        <v>100</v>
      </c>
      <c r="Q105" s="40" t="n">
        <v>250</v>
      </c>
      <c r="R105" s="37" t="n">
        <f aca="false">H105*L105</f>
        <v>1518.75</v>
      </c>
      <c r="S105" s="37" t="n">
        <f aca="false">H105*M105*O105</f>
        <v>1246.59</v>
      </c>
      <c r="T105" s="37" t="n">
        <f aca="false">H105*P105*(1+Assumptions!$C$6)</f>
        <v>101.25</v>
      </c>
      <c r="U105" s="37" t="n">
        <f aca="false">H105*Q105*(1+Assumptions!$C$6)</f>
        <v>253.125</v>
      </c>
      <c r="V105" s="37" t="n">
        <f aca="false">SUM(R105:U105)</f>
        <v>3119.715</v>
      </c>
      <c r="W105" s="37" t="n">
        <f aca="false">IFERROR(V105/H105,0)</f>
        <v>3119.715</v>
      </c>
      <c r="X105" s="34" t="s">
        <v>302</v>
      </c>
      <c r="Y105" s="34" t="s">
        <v>350</v>
      </c>
      <c r="Z105" s="34" t="s">
        <v>331</v>
      </c>
    </row>
    <row r="106" customFormat="false" ht="37.5" hidden="false" customHeight="true" outlineLevel="0" collapsed="false">
      <c r="B106" s="30" t="s">
        <v>351</v>
      </c>
      <c r="C106" s="30" t="s">
        <v>30</v>
      </c>
      <c r="D106" s="30" t="s">
        <v>352</v>
      </c>
      <c r="E106" s="30" t="s">
        <v>353</v>
      </c>
      <c r="F106" s="30" t="s">
        <v>306</v>
      </c>
      <c r="G106" s="30" t="s">
        <v>354</v>
      </c>
      <c r="H106" s="39" t="n">
        <v>1</v>
      </c>
      <c r="I106" s="30" t="s">
        <v>330</v>
      </c>
      <c r="J106" s="30" t="s">
        <v>331</v>
      </c>
      <c r="K106" s="40" t="n">
        <v>500</v>
      </c>
      <c r="L106" s="31" t="n">
        <f aca="false">K106*(1+Assumptions!$C$6)</f>
        <v>506.25</v>
      </c>
      <c r="M106" s="40" t="n">
        <v>80</v>
      </c>
      <c r="N106" s="31" t="s">
        <v>92</v>
      </c>
      <c r="O106" s="31" t="n">
        <f aca="false">IFERROR(VLOOKUP(N106,'Rate Buildups'!$B$6:$H$16,7,FALSE()),0)</f>
        <v>45.6481575</v>
      </c>
      <c r="P106" s="40" t="n">
        <v>1500</v>
      </c>
      <c r="Q106" s="40" t="n">
        <v>3500</v>
      </c>
      <c r="R106" s="31" t="n">
        <f aca="false">H106*L106</f>
        <v>506.25</v>
      </c>
      <c r="S106" s="31" t="n">
        <f aca="false">H106*M106*O106</f>
        <v>3651.8526</v>
      </c>
      <c r="T106" s="31" t="n">
        <f aca="false">H106*P106*(1+Assumptions!$C$6)</f>
        <v>1518.75</v>
      </c>
      <c r="U106" s="31" t="n">
        <f aca="false">H106*Q106*(1+Assumptions!$C$6)</f>
        <v>3543.75</v>
      </c>
      <c r="V106" s="31" t="n">
        <f aca="false">SUM(R106:U106)</f>
        <v>9220.6026</v>
      </c>
      <c r="W106" s="31" t="n">
        <f aca="false">IFERROR(V106/H106,0)</f>
        <v>9220.6026</v>
      </c>
      <c r="X106" s="30" t="s">
        <v>302</v>
      </c>
      <c r="Y106" s="30" t="s">
        <v>355</v>
      </c>
      <c r="Z106" s="30" t="s">
        <v>331</v>
      </c>
    </row>
    <row r="107" customFormat="false" ht="37.5" hidden="false" customHeight="true" outlineLevel="0" collapsed="false">
      <c r="B107" s="34" t="s">
        <v>356</v>
      </c>
      <c r="C107" s="34" t="s">
        <v>30</v>
      </c>
      <c r="D107" s="34" t="s">
        <v>319</v>
      </c>
      <c r="E107" s="34" t="s">
        <v>357</v>
      </c>
      <c r="F107" s="34" t="s">
        <v>306</v>
      </c>
      <c r="G107" s="34" t="s">
        <v>358</v>
      </c>
      <c r="H107" s="41" t="n">
        <v>1</v>
      </c>
      <c r="I107" s="34" t="s">
        <v>330</v>
      </c>
      <c r="J107" s="34" t="s">
        <v>331</v>
      </c>
      <c r="K107" s="40" t="n">
        <v>0</v>
      </c>
      <c r="L107" s="37" t="n">
        <f aca="false">K107*(1+Assumptions!$C$6)</f>
        <v>0</v>
      </c>
      <c r="M107" s="40" t="n">
        <v>8</v>
      </c>
      <c r="N107" s="37" t="s">
        <v>120</v>
      </c>
      <c r="O107" s="37" t="n">
        <f aca="false">IFERROR(VLOOKUP(N107,'Rate Buildups'!$B$6:$H$16,7,FALSE()),0)</f>
        <v>69.8625</v>
      </c>
      <c r="P107" s="40" t="n">
        <v>0</v>
      </c>
      <c r="Q107" s="40" t="n">
        <v>500</v>
      </c>
      <c r="R107" s="37" t="n">
        <f aca="false">H107*L107</f>
        <v>0</v>
      </c>
      <c r="S107" s="37" t="n">
        <f aca="false">H107*M107*O107</f>
        <v>558.9</v>
      </c>
      <c r="T107" s="37" t="n">
        <f aca="false">H107*P107*(1+Assumptions!$C$6)</f>
        <v>0</v>
      </c>
      <c r="U107" s="37" t="n">
        <f aca="false">H107*Q107*(1+Assumptions!$C$6)</f>
        <v>506.25</v>
      </c>
      <c r="V107" s="37" t="n">
        <f aca="false">SUM(R107:U107)</f>
        <v>1065.15</v>
      </c>
      <c r="W107" s="37" t="n">
        <f aca="false">IFERROR(V107/H107,0)</f>
        <v>1065.15</v>
      </c>
      <c r="X107" s="34" t="s">
        <v>302</v>
      </c>
      <c r="Y107" s="34" t="s">
        <v>359</v>
      </c>
      <c r="Z107" s="34" t="s">
        <v>331</v>
      </c>
    </row>
    <row r="108" customFormat="false" ht="37.5" hidden="false" customHeight="true" outlineLevel="0" collapsed="false">
      <c r="B108" s="30" t="s">
        <v>360</v>
      </c>
      <c r="C108" s="30" t="s">
        <v>30</v>
      </c>
      <c r="D108" s="30" t="s">
        <v>313</v>
      </c>
      <c r="E108" s="30" t="s">
        <v>361</v>
      </c>
      <c r="F108" s="30" t="s">
        <v>306</v>
      </c>
      <c r="G108" s="30" t="s">
        <v>362</v>
      </c>
      <c r="H108" s="39" t="n">
        <v>1</v>
      </c>
      <c r="I108" s="30" t="s">
        <v>330</v>
      </c>
      <c r="J108" s="30" t="s">
        <v>331</v>
      </c>
      <c r="K108" s="40" t="n">
        <v>4500</v>
      </c>
      <c r="L108" s="31" t="n">
        <f aca="false">K108*(1+Assumptions!$C$6)</f>
        <v>4556.25</v>
      </c>
      <c r="M108" s="40" t="n">
        <v>40</v>
      </c>
      <c r="N108" s="31" t="s">
        <v>104</v>
      </c>
      <c r="O108" s="31" t="n">
        <f aca="false">IFERROR(VLOOKUP(N108,'Rate Buildups'!$B$6:$H$16,7,FALSE()),0)</f>
        <v>49.2075</v>
      </c>
      <c r="P108" s="40" t="n">
        <v>250</v>
      </c>
      <c r="Q108" s="40" t="n">
        <v>500</v>
      </c>
      <c r="R108" s="31" t="n">
        <f aca="false">H108*L108</f>
        <v>4556.25</v>
      </c>
      <c r="S108" s="31" t="n">
        <f aca="false">H108*M108*O108</f>
        <v>1968.3</v>
      </c>
      <c r="T108" s="31" t="n">
        <f aca="false">H108*P108*(1+Assumptions!$C$6)</f>
        <v>253.125</v>
      </c>
      <c r="U108" s="31" t="n">
        <f aca="false">H108*Q108*(1+Assumptions!$C$6)</f>
        <v>506.25</v>
      </c>
      <c r="V108" s="31" t="n">
        <f aca="false">SUM(R108:U108)</f>
        <v>7283.925</v>
      </c>
      <c r="W108" s="31" t="n">
        <f aca="false">IFERROR(V108/H108,0)</f>
        <v>7283.925</v>
      </c>
      <c r="X108" s="30" t="s">
        <v>302</v>
      </c>
      <c r="Y108" s="30" t="s">
        <v>363</v>
      </c>
      <c r="Z108" s="30" t="s">
        <v>331</v>
      </c>
    </row>
    <row r="109" customFormat="false" ht="37.5" hidden="false" customHeight="true" outlineLevel="0" collapsed="false">
      <c r="B109" s="34" t="s">
        <v>364</v>
      </c>
      <c r="C109" s="34" t="s">
        <v>30</v>
      </c>
      <c r="D109" s="34" t="s">
        <v>365</v>
      </c>
      <c r="E109" s="34" t="s">
        <v>366</v>
      </c>
      <c r="F109" s="34" t="s">
        <v>306</v>
      </c>
      <c r="G109" s="34" t="s">
        <v>367</v>
      </c>
      <c r="H109" s="41" t="n">
        <v>1</v>
      </c>
      <c r="I109" s="34" t="s">
        <v>330</v>
      </c>
      <c r="J109" s="34" t="s">
        <v>331</v>
      </c>
      <c r="K109" s="40" t="n">
        <v>4000</v>
      </c>
      <c r="L109" s="37" t="n">
        <f aca="false">K109*(1+Assumptions!$C$6)</f>
        <v>4050</v>
      </c>
      <c r="M109" s="40" t="n">
        <v>48</v>
      </c>
      <c r="N109" s="37" t="s">
        <v>101</v>
      </c>
      <c r="O109" s="37" t="n">
        <f aca="false">IFERROR(VLOOKUP(N109,'Rate Buildups'!$B$6:$H$16,7,FALSE()),0)</f>
        <v>41.6896875</v>
      </c>
      <c r="P109" s="40" t="n">
        <v>150</v>
      </c>
      <c r="Q109" s="40" t="n">
        <v>500</v>
      </c>
      <c r="R109" s="37" t="n">
        <f aca="false">H109*L109</f>
        <v>4050</v>
      </c>
      <c r="S109" s="37" t="n">
        <f aca="false">H109*M109*O109</f>
        <v>2001.105</v>
      </c>
      <c r="T109" s="37" t="n">
        <f aca="false">H109*P109*(1+Assumptions!$C$6)</f>
        <v>151.875</v>
      </c>
      <c r="U109" s="37" t="n">
        <f aca="false">H109*Q109*(1+Assumptions!$C$6)</f>
        <v>506.25</v>
      </c>
      <c r="V109" s="37" t="n">
        <f aca="false">SUM(R109:U109)</f>
        <v>6709.23</v>
      </c>
      <c r="W109" s="37" t="n">
        <f aca="false">IFERROR(V109/H109,0)</f>
        <v>6709.23</v>
      </c>
      <c r="X109" s="34" t="s">
        <v>302</v>
      </c>
      <c r="Y109" s="34" t="s">
        <v>363</v>
      </c>
      <c r="Z109" s="34" t="s">
        <v>331</v>
      </c>
    </row>
    <row r="110" customFormat="false" ht="37.5" hidden="false" customHeight="true" outlineLevel="0" collapsed="false">
      <c r="B110" s="30" t="s">
        <v>368</v>
      </c>
      <c r="C110" s="30" t="s">
        <v>30</v>
      </c>
      <c r="D110" s="30" t="s">
        <v>252</v>
      </c>
      <c r="E110" s="30" t="s">
        <v>369</v>
      </c>
      <c r="F110" s="30" t="s">
        <v>306</v>
      </c>
      <c r="G110" s="30" t="s">
        <v>370</v>
      </c>
      <c r="H110" s="39" t="n">
        <v>1</v>
      </c>
      <c r="I110" s="30" t="s">
        <v>330</v>
      </c>
      <c r="J110" s="30" t="s">
        <v>331</v>
      </c>
      <c r="K110" s="40" t="n">
        <v>3000</v>
      </c>
      <c r="L110" s="31" t="n">
        <f aca="false">K110*(1+Assumptions!$C$6)</f>
        <v>3037.5</v>
      </c>
      <c r="M110" s="40" t="n">
        <v>120</v>
      </c>
      <c r="N110" s="31" t="s">
        <v>95</v>
      </c>
      <c r="O110" s="31" t="n">
        <f aca="false">IFERROR(VLOOKUP(N110,'Rate Buildups'!$B$6:$H$16,7,FALSE()),0)</f>
        <v>51.94125</v>
      </c>
      <c r="P110" s="40" t="n">
        <v>250</v>
      </c>
      <c r="Q110" s="40" t="n">
        <v>500</v>
      </c>
      <c r="R110" s="31" t="n">
        <f aca="false">H110*L110</f>
        <v>3037.5</v>
      </c>
      <c r="S110" s="31" t="n">
        <f aca="false">H110*M110*O110</f>
        <v>6232.95</v>
      </c>
      <c r="T110" s="31" t="n">
        <f aca="false">H110*P110*(1+Assumptions!$C$6)</f>
        <v>253.125</v>
      </c>
      <c r="U110" s="31" t="n">
        <f aca="false">H110*Q110*(1+Assumptions!$C$6)</f>
        <v>506.25</v>
      </c>
      <c r="V110" s="31" t="n">
        <f aca="false">SUM(R110:U110)</f>
        <v>10029.825</v>
      </c>
      <c r="W110" s="31" t="n">
        <f aca="false">IFERROR(V110/H110,0)</f>
        <v>10029.825</v>
      </c>
      <c r="X110" s="30" t="s">
        <v>302</v>
      </c>
      <c r="Y110" s="30" t="s">
        <v>363</v>
      </c>
      <c r="Z110" s="30" t="s">
        <v>331</v>
      </c>
    </row>
    <row r="111" customFormat="false" ht="37.5" hidden="false" customHeight="true" outlineLevel="0" collapsed="false">
      <c r="B111" s="34" t="s">
        <v>371</v>
      </c>
      <c r="C111" s="34" t="s">
        <v>30</v>
      </c>
      <c r="D111" s="34" t="s">
        <v>252</v>
      </c>
      <c r="E111" s="34" t="s">
        <v>369</v>
      </c>
      <c r="F111" s="34" t="s">
        <v>306</v>
      </c>
      <c r="G111" s="34" t="s">
        <v>372</v>
      </c>
      <c r="H111" s="41" t="n">
        <v>1</v>
      </c>
      <c r="I111" s="34" t="s">
        <v>330</v>
      </c>
      <c r="J111" s="34" t="s">
        <v>331</v>
      </c>
      <c r="K111" s="40" t="n">
        <v>1800</v>
      </c>
      <c r="L111" s="37" t="n">
        <f aca="false">K111*(1+Assumptions!$C$6)</f>
        <v>1822.5</v>
      </c>
      <c r="M111" s="40" t="n">
        <v>100</v>
      </c>
      <c r="N111" s="37" t="s">
        <v>109</v>
      </c>
      <c r="O111" s="37" t="n">
        <f aca="false">IFERROR(VLOOKUP(N111,'Rate Buildups'!$B$6:$H$16,7,FALSE()),0)</f>
        <v>43.74</v>
      </c>
      <c r="P111" s="40" t="n">
        <v>100</v>
      </c>
      <c r="Q111" s="40" t="n">
        <v>200</v>
      </c>
      <c r="R111" s="37" t="n">
        <f aca="false">H111*L111</f>
        <v>1822.5</v>
      </c>
      <c r="S111" s="37" t="n">
        <f aca="false">H111*M111*O111</f>
        <v>4374</v>
      </c>
      <c r="T111" s="37" t="n">
        <f aca="false">H111*P111*(1+Assumptions!$C$6)</f>
        <v>101.25</v>
      </c>
      <c r="U111" s="37" t="n">
        <f aca="false">H111*Q111*(1+Assumptions!$C$6)</f>
        <v>202.5</v>
      </c>
      <c r="V111" s="37" t="n">
        <f aca="false">SUM(R111:U111)</f>
        <v>6500.25</v>
      </c>
      <c r="W111" s="37" t="n">
        <f aca="false">IFERROR(V111/H111,0)</f>
        <v>6500.25</v>
      </c>
      <c r="X111" s="34" t="s">
        <v>302</v>
      </c>
      <c r="Y111" s="34" t="s">
        <v>363</v>
      </c>
      <c r="Z111" s="34" t="s">
        <v>331</v>
      </c>
    </row>
    <row r="112" customFormat="false" ht="37.5" hidden="false" customHeight="true" outlineLevel="0" collapsed="false">
      <c r="B112" s="30" t="s">
        <v>373</v>
      </c>
      <c r="C112" s="30" t="s">
        <v>30</v>
      </c>
      <c r="D112" s="30" t="s">
        <v>252</v>
      </c>
      <c r="E112" s="30" t="s">
        <v>374</v>
      </c>
      <c r="F112" s="30" t="s">
        <v>306</v>
      </c>
      <c r="G112" s="30" t="s">
        <v>375</v>
      </c>
      <c r="H112" s="39" t="n">
        <v>1</v>
      </c>
      <c r="I112" s="30" t="s">
        <v>330</v>
      </c>
      <c r="J112" s="30" t="s">
        <v>331</v>
      </c>
      <c r="K112" s="40" t="n">
        <v>2500</v>
      </c>
      <c r="L112" s="31" t="n">
        <f aca="false">K112*(1+Assumptions!$C$6)</f>
        <v>2531.25</v>
      </c>
      <c r="M112" s="40" t="n">
        <v>60</v>
      </c>
      <c r="N112" s="31" t="s">
        <v>95</v>
      </c>
      <c r="O112" s="31" t="n">
        <f aca="false">IFERROR(VLOOKUP(N112,'Rate Buildups'!$B$6:$H$16,7,FALSE()),0)</f>
        <v>51.94125</v>
      </c>
      <c r="P112" s="40" t="n">
        <v>100</v>
      </c>
      <c r="Q112" s="40" t="n">
        <v>500</v>
      </c>
      <c r="R112" s="31" t="n">
        <f aca="false">H112*L112</f>
        <v>2531.25</v>
      </c>
      <c r="S112" s="31" t="n">
        <f aca="false">H112*M112*O112</f>
        <v>3116.475</v>
      </c>
      <c r="T112" s="31" t="n">
        <f aca="false">H112*P112*(1+Assumptions!$C$6)</f>
        <v>101.25</v>
      </c>
      <c r="U112" s="31" t="n">
        <f aca="false">H112*Q112*(1+Assumptions!$C$6)</f>
        <v>506.25</v>
      </c>
      <c r="V112" s="31" t="n">
        <f aca="false">SUM(R112:U112)</f>
        <v>6255.225</v>
      </c>
      <c r="W112" s="31" t="n">
        <f aca="false">IFERROR(V112/H112,0)</f>
        <v>6255.225</v>
      </c>
      <c r="X112" s="30" t="s">
        <v>302</v>
      </c>
      <c r="Y112" s="30" t="s">
        <v>363</v>
      </c>
      <c r="Z112" s="30" t="s">
        <v>331</v>
      </c>
    </row>
    <row r="113" customFormat="false" ht="37.5" hidden="false" customHeight="true" outlineLevel="0" collapsed="false">
      <c r="B113" s="34" t="s">
        <v>376</v>
      </c>
      <c r="C113" s="34" t="s">
        <v>30</v>
      </c>
      <c r="D113" s="34" t="s">
        <v>252</v>
      </c>
      <c r="E113" s="34" t="s">
        <v>377</v>
      </c>
      <c r="F113" s="34" t="s">
        <v>306</v>
      </c>
      <c r="G113" s="34" t="s">
        <v>378</v>
      </c>
      <c r="H113" s="41" t="n">
        <v>1</v>
      </c>
      <c r="I113" s="34" t="s">
        <v>330</v>
      </c>
      <c r="J113" s="34" t="s">
        <v>331</v>
      </c>
      <c r="K113" s="40" t="n">
        <v>6000</v>
      </c>
      <c r="L113" s="37" t="n">
        <f aca="false">K113*(1+Assumptions!$C$6)</f>
        <v>6075</v>
      </c>
      <c r="M113" s="40" t="n">
        <v>40</v>
      </c>
      <c r="N113" s="37" t="s">
        <v>111</v>
      </c>
      <c r="O113" s="37" t="n">
        <f aca="false">IFERROR(VLOOKUP(N113,'Rate Buildups'!$B$6:$H$16,7,FALSE()),0)</f>
        <v>64.2735</v>
      </c>
      <c r="P113" s="40" t="n">
        <v>250</v>
      </c>
      <c r="Q113" s="40" t="n">
        <v>500</v>
      </c>
      <c r="R113" s="37" t="n">
        <f aca="false">H113*L113</f>
        <v>6075</v>
      </c>
      <c r="S113" s="37" t="n">
        <f aca="false">H113*M113*O113</f>
        <v>2570.94</v>
      </c>
      <c r="T113" s="37" t="n">
        <f aca="false">H113*P113*(1+Assumptions!$C$6)</f>
        <v>253.125</v>
      </c>
      <c r="U113" s="37" t="n">
        <f aca="false">H113*Q113*(1+Assumptions!$C$6)</f>
        <v>506.25</v>
      </c>
      <c r="V113" s="37" t="n">
        <f aca="false">SUM(R113:U113)</f>
        <v>9405.315</v>
      </c>
      <c r="W113" s="37" t="n">
        <f aca="false">IFERROR(V113/H113,0)</f>
        <v>9405.315</v>
      </c>
      <c r="X113" s="34" t="s">
        <v>302</v>
      </c>
      <c r="Y113" s="34" t="s">
        <v>379</v>
      </c>
      <c r="Z113" s="34" t="s">
        <v>331</v>
      </c>
    </row>
    <row r="114" customFormat="false" ht="37.5" hidden="false" customHeight="true" outlineLevel="0" collapsed="false">
      <c r="B114" s="30" t="s">
        <v>380</v>
      </c>
      <c r="C114" s="30" t="s">
        <v>30</v>
      </c>
      <c r="D114" s="30" t="s">
        <v>252</v>
      </c>
      <c r="E114" s="30" t="s">
        <v>381</v>
      </c>
      <c r="F114" s="30" t="s">
        <v>306</v>
      </c>
      <c r="G114" s="30" t="s">
        <v>382</v>
      </c>
      <c r="H114" s="39" t="n">
        <v>1</v>
      </c>
      <c r="I114" s="30" t="s">
        <v>330</v>
      </c>
      <c r="J114" s="30" t="s">
        <v>331</v>
      </c>
      <c r="K114" s="40" t="n">
        <v>2500</v>
      </c>
      <c r="L114" s="31" t="n">
        <f aca="false">K114*(1+Assumptions!$C$6)</f>
        <v>2531.25</v>
      </c>
      <c r="M114" s="40" t="n">
        <v>80</v>
      </c>
      <c r="N114" s="31" t="s">
        <v>95</v>
      </c>
      <c r="O114" s="31" t="n">
        <f aca="false">IFERROR(VLOOKUP(N114,'Rate Buildups'!$B$6:$H$16,7,FALSE()),0)</f>
        <v>51.94125</v>
      </c>
      <c r="P114" s="40" t="n">
        <v>150</v>
      </c>
      <c r="Q114" s="40" t="n">
        <v>500</v>
      </c>
      <c r="R114" s="31" t="n">
        <f aca="false">H114*L114</f>
        <v>2531.25</v>
      </c>
      <c r="S114" s="31" t="n">
        <f aca="false">H114*M114*O114</f>
        <v>4155.3</v>
      </c>
      <c r="T114" s="31" t="n">
        <f aca="false">H114*P114*(1+Assumptions!$C$6)</f>
        <v>151.875</v>
      </c>
      <c r="U114" s="31" t="n">
        <f aca="false">H114*Q114*(1+Assumptions!$C$6)</f>
        <v>506.25</v>
      </c>
      <c r="V114" s="31" t="n">
        <f aca="false">SUM(R114:U114)</f>
        <v>7344.675</v>
      </c>
      <c r="W114" s="31" t="n">
        <f aca="false">IFERROR(V114/H114,0)</f>
        <v>7344.675</v>
      </c>
      <c r="X114" s="30" t="s">
        <v>302</v>
      </c>
      <c r="Y114" s="30" t="s">
        <v>383</v>
      </c>
      <c r="Z114" s="30" t="s">
        <v>331</v>
      </c>
    </row>
    <row r="115" customFormat="false" ht="37.5" hidden="false" customHeight="true" outlineLevel="0" collapsed="false">
      <c r="B115" s="34" t="s">
        <v>384</v>
      </c>
      <c r="C115" s="34" t="s">
        <v>30</v>
      </c>
      <c r="D115" s="34" t="s">
        <v>148</v>
      </c>
      <c r="E115" s="34" t="s">
        <v>385</v>
      </c>
      <c r="F115" s="34" t="s">
        <v>306</v>
      </c>
      <c r="G115" s="34" t="s">
        <v>386</v>
      </c>
      <c r="H115" s="41" t="n">
        <v>12</v>
      </c>
      <c r="I115" s="34" t="s">
        <v>387</v>
      </c>
      <c r="J115" s="34" t="s">
        <v>331</v>
      </c>
      <c r="K115" s="40" t="n">
        <v>50</v>
      </c>
      <c r="L115" s="37" t="n">
        <f aca="false">K115*(1+Assumptions!$C$6)</f>
        <v>50.625</v>
      </c>
      <c r="M115" s="40" t="n">
        <v>3</v>
      </c>
      <c r="N115" s="37" t="s">
        <v>92</v>
      </c>
      <c r="O115" s="37" t="n">
        <f aca="false">IFERROR(VLOOKUP(N115,'Rate Buildups'!$B$6:$H$16,7,FALSE()),0)</f>
        <v>45.6481575</v>
      </c>
      <c r="P115" s="40" t="n">
        <v>10</v>
      </c>
      <c r="Q115" s="40" t="n">
        <v>10</v>
      </c>
      <c r="R115" s="37" t="n">
        <f aca="false">H115*L115</f>
        <v>607.5</v>
      </c>
      <c r="S115" s="37" t="n">
        <f aca="false">H115*M115*O115</f>
        <v>1643.33367</v>
      </c>
      <c r="T115" s="37" t="n">
        <f aca="false">H115*P115*(1+Assumptions!$C$6)</f>
        <v>121.5</v>
      </c>
      <c r="U115" s="37" t="n">
        <f aca="false">H115*Q115*(1+Assumptions!$C$6)</f>
        <v>121.5</v>
      </c>
      <c r="V115" s="37" t="n">
        <f aca="false">SUM(R115:U115)</f>
        <v>2493.83367</v>
      </c>
      <c r="W115" s="37" t="n">
        <f aca="false">IFERROR(V115/H115,0)</f>
        <v>207.8194725</v>
      </c>
      <c r="X115" s="34" t="s">
        <v>153</v>
      </c>
      <c r="Y115" s="34" t="s">
        <v>388</v>
      </c>
      <c r="Z115" s="34" t="s">
        <v>331</v>
      </c>
    </row>
    <row r="116" customFormat="false" ht="37.5" hidden="false" customHeight="true" outlineLevel="0" collapsed="false">
      <c r="B116" s="30" t="s">
        <v>389</v>
      </c>
      <c r="C116" s="30" t="s">
        <v>30</v>
      </c>
      <c r="D116" s="30" t="s">
        <v>148</v>
      </c>
      <c r="E116" s="30" t="s">
        <v>390</v>
      </c>
      <c r="F116" s="30" t="s">
        <v>306</v>
      </c>
      <c r="G116" s="30" t="s">
        <v>391</v>
      </c>
      <c r="H116" s="39" t="n">
        <v>20</v>
      </c>
      <c r="I116" s="30" t="s">
        <v>165</v>
      </c>
      <c r="J116" s="30" t="s">
        <v>331</v>
      </c>
      <c r="K116" s="40" t="n">
        <v>45</v>
      </c>
      <c r="L116" s="31" t="n">
        <f aca="false">K116*(1+Assumptions!$C$6)</f>
        <v>45.5625</v>
      </c>
      <c r="M116" s="40" t="n">
        <v>1.5</v>
      </c>
      <c r="N116" s="31" t="s">
        <v>92</v>
      </c>
      <c r="O116" s="31" t="n">
        <f aca="false">IFERROR(VLOOKUP(N116,'Rate Buildups'!$B$6:$H$16,7,FALSE()),0)</f>
        <v>45.6481575</v>
      </c>
      <c r="P116" s="40" t="n">
        <v>0</v>
      </c>
      <c r="Q116" s="40" t="n">
        <v>5</v>
      </c>
      <c r="R116" s="31" t="n">
        <f aca="false">H116*L116</f>
        <v>911.25</v>
      </c>
      <c r="S116" s="31" t="n">
        <f aca="false">H116*M116*O116</f>
        <v>1369.444725</v>
      </c>
      <c r="T116" s="31" t="n">
        <f aca="false">H116*P116*(1+Assumptions!$C$6)</f>
        <v>0</v>
      </c>
      <c r="U116" s="31" t="n">
        <f aca="false">H116*Q116*(1+Assumptions!$C$6)</f>
        <v>101.25</v>
      </c>
      <c r="V116" s="31" t="n">
        <f aca="false">SUM(R116:U116)</f>
        <v>2381.944725</v>
      </c>
      <c r="W116" s="31" t="n">
        <f aca="false">IFERROR(V116/H116,0)</f>
        <v>119.09723625</v>
      </c>
      <c r="X116" s="30" t="s">
        <v>153</v>
      </c>
      <c r="Y116" s="30" t="s">
        <v>392</v>
      </c>
      <c r="Z116" s="30" t="s">
        <v>331</v>
      </c>
    </row>
    <row r="117" customFormat="false" ht="37.5" hidden="false" customHeight="true" outlineLevel="0" collapsed="false">
      <c r="B117" s="34" t="s">
        <v>393</v>
      </c>
      <c r="C117" s="34" t="s">
        <v>30</v>
      </c>
      <c r="D117" s="34" t="s">
        <v>148</v>
      </c>
      <c r="E117" s="34" t="s">
        <v>394</v>
      </c>
      <c r="F117" s="34" t="s">
        <v>306</v>
      </c>
      <c r="G117" s="34" t="s">
        <v>395</v>
      </c>
      <c r="H117" s="41" t="n">
        <v>1</v>
      </c>
      <c r="I117" s="34" t="s">
        <v>330</v>
      </c>
      <c r="J117" s="34" t="s">
        <v>331</v>
      </c>
      <c r="K117" s="40" t="n">
        <v>400</v>
      </c>
      <c r="L117" s="37" t="n">
        <f aca="false">K117*(1+Assumptions!$C$6)</f>
        <v>405</v>
      </c>
      <c r="M117" s="40" t="n">
        <v>8</v>
      </c>
      <c r="N117" s="37" t="s">
        <v>92</v>
      </c>
      <c r="O117" s="37" t="n">
        <f aca="false">IFERROR(VLOOKUP(N117,'Rate Buildups'!$B$6:$H$16,7,FALSE()),0)</f>
        <v>45.6481575</v>
      </c>
      <c r="P117" s="40" t="n">
        <v>25</v>
      </c>
      <c r="Q117" s="40" t="n">
        <v>50</v>
      </c>
      <c r="R117" s="37" t="n">
        <f aca="false">H117*L117</f>
        <v>405</v>
      </c>
      <c r="S117" s="37" t="n">
        <f aca="false">H117*M117*O117</f>
        <v>365.18526</v>
      </c>
      <c r="T117" s="37" t="n">
        <f aca="false">H117*P117*(1+Assumptions!$C$6)</f>
        <v>25.3125</v>
      </c>
      <c r="U117" s="37" t="n">
        <f aca="false">H117*Q117*(1+Assumptions!$C$6)</f>
        <v>50.625</v>
      </c>
      <c r="V117" s="37" t="n">
        <f aca="false">SUM(R117:U117)</f>
        <v>846.12276</v>
      </c>
      <c r="W117" s="37" t="n">
        <f aca="false">IFERROR(V117/H117,0)</f>
        <v>846.12276</v>
      </c>
      <c r="X117" s="34" t="s">
        <v>302</v>
      </c>
      <c r="Y117" s="34" t="s">
        <v>379</v>
      </c>
      <c r="Z117" s="34" t="s">
        <v>331</v>
      </c>
    </row>
    <row r="118" customFormat="false" ht="37.5" hidden="false" customHeight="true" outlineLevel="0" collapsed="false">
      <c r="B118" s="30" t="s">
        <v>396</v>
      </c>
      <c r="C118" s="30" t="s">
        <v>30</v>
      </c>
      <c r="D118" s="30" t="s">
        <v>148</v>
      </c>
      <c r="E118" s="30" t="s">
        <v>394</v>
      </c>
      <c r="F118" s="30" t="s">
        <v>306</v>
      </c>
      <c r="G118" s="30" t="s">
        <v>397</v>
      </c>
      <c r="H118" s="39" t="n">
        <v>1</v>
      </c>
      <c r="I118" s="30" t="s">
        <v>330</v>
      </c>
      <c r="J118" s="30" t="s">
        <v>331</v>
      </c>
      <c r="K118" s="40" t="n">
        <v>2500</v>
      </c>
      <c r="L118" s="31" t="n">
        <f aca="false">K118*(1+Assumptions!$C$6)</f>
        <v>2531.25</v>
      </c>
      <c r="M118" s="40" t="n">
        <v>24</v>
      </c>
      <c r="N118" s="31" t="s">
        <v>92</v>
      </c>
      <c r="O118" s="31" t="n">
        <f aca="false">IFERROR(VLOOKUP(N118,'Rate Buildups'!$B$6:$H$16,7,FALSE()),0)</f>
        <v>45.6481575</v>
      </c>
      <c r="P118" s="40" t="n">
        <v>100</v>
      </c>
      <c r="Q118" s="40" t="n">
        <v>100</v>
      </c>
      <c r="R118" s="31" t="n">
        <f aca="false">H118*L118</f>
        <v>2531.25</v>
      </c>
      <c r="S118" s="31" t="n">
        <f aca="false">H118*M118*O118</f>
        <v>1095.55578</v>
      </c>
      <c r="T118" s="31" t="n">
        <f aca="false">H118*P118*(1+Assumptions!$C$6)</f>
        <v>101.25</v>
      </c>
      <c r="U118" s="31" t="n">
        <f aca="false">H118*Q118*(1+Assumptions!$C$6)</f>
        <v>101.25</v>
      </c>
      <c r="V118" s="31" t="n">
        <f aca="false">SUM(R118:U118)</f>
        <v>3829.30578</v>
      </c>
      <c r="W118" s="31" t="n">
        <f aca="false">IFERROR(V118/H118,0)</f>
        <v>3829.30578</v>
      </c>
      <c r="X118" s="30" t="s">
        <v>153</v>
      </c>
      <c r="Y118" s="30" t="s">
        <v>398</v>
      </c>
      <c r="Z118" s="30" t="s">
        <v>331</v>
      </c>
    </row>
    <row r="119" customFormat="false" ht="37.5" hidden="false" customHeight="true" outlineLevel="0" collapsed="false">
      <c r="B119" s="34" t="s">
        <v>399</v>
      </c>
      <c r="C119" s="34" t="s">
        <v>30</v>
      </c>
      <c r="D119" s="34" t="s">
        <v>400</v>
      </c>
      <c r="E119" s="34" t="s">
        <v>401</v>
      </c>
      <c r="F119" s="34" t="s">
        <v>306</v>
      </c>
      <c r="G119" s="34" t="s">
        <v>402</v>
      </c>
      <c r="H119" s="41" t="n">
        <v>1</v>
      </c>
      <c r="I119" s="34" t="s">
        <v>330</v>
      </c>
      <c r="J119" s="34" t="s">
        <v>331</v>
      </c>
      <c r="K119" s="40" t="n">
        <v>400</v>
      </c>
      <c r="L119" s="37" t="n">
        <f aca="false">K119*(1+Assumptions!$C$6)</f>
        <v>405</v>
      </c>
      <c r="M119" s="40" t="n">
        <v>16</v>
      </c>
      <c r="N119" s="37" t="s">
        <v>111</v>
      </c>
      <c r="O119" s="37" t="n">
        <f aca="false">IFERROR(VLOOKUP(N119,'Rate Buildups'!$B$6:$H$16,7,FALSE()),0)</f>
        <v>64.2735</v>
      </c>
      <c r="P119" s="40" t="n">
        <v>50</v>
      </c>
      <c r="Q119" s="40" t="n">
        <v>100</v>
      </c>
      <c r="R119" s="37" t="n">
        <f aca="false">H119*L119</f>
        <v>405</v>
      </c>
      <c r="S119" s="37" t="n">
        <f aca="false">H119*M119*O119</f>
        <v>1028.376</v>
      </c>
      <c r="T119" s="37" t="n">
        <f aca="false">H119*P119*(1+Assumptions!$C$6)</f>
        <v>50.625</v>
      </c>
      <c r="U119" s="37" t="n">
        <f aca="false">H119*Q119*(1+Assumptions!$C$6)</f>
        <v>101.25</v>
      </c>
      <c r="V119" s="37" t="n">
        <f aca="false">SUM(R119:U119)</f>
        <v>1585.251</v>
      </c>
      <c r="W119" s="37" t="n">
        <f aca="false">IFERROR(V119/H119,0)</f>
        <v>1585.251</v>
      </c>
      <c r="X119" s="34" t="s">
        <v>302</v>
      </c>
      <c r="Y119" s="34" t="s">
        <v>363</v>
      </c>
      <c r="Z119" s="34" t="s">
        <v>331</v>
      </c>
    </row>
    <row r="120" customFormat="false" ht="37.5" hidden="false" customHeight="true" outlineLevel="0" collapsed="false">
      <c r="B120" s="30" t="s">
        <v>403</v>
      </c>
      <c r="C120" s="30" t="s">
        <v>34</v>
      </c>
      <c r="D120" s="30" t="s">
        <v>404</v>
      </c>
      <c r="E120" s="30" t="s">
        <v>405</v>
      </c>
      <c r="F120" s="30" t="s">
        <v>406</v>
      </c>
      <c r="G120" s="30" t="s">
        <v>407</v>
      </c>
      <c r="H120" s="39" t="n">
        <v>2</v>
      </c>
      <c r="I120" s="30" t="s">
        <v>408</v>
      </c>
      <c r="J120" s="30" t="s">
        <v>331</v>
      </c>
      <c r="K120" s="40" t="n">
        <v>250</v>
      </c>
      <c r="L120" s="31" t="n">
        <f aca="false">K120*(1+Assumptions!$C$6)</f>
        <v>253.125</v>
      </c>
      <c r="M120" s="40" t="n">
        <v>4</v>
      </c>
      <c r="N120" s="31" t="s">
        <v>117</v>
      </c>
      <c r="O120" s="31" t="n">
        <f aca="false">IFERROR(VLOOKUP(N120,'Rate Buildups'!$B$6:$H$16,7,FALSE()),0)</f>
        <v>59.23125</v>
      </c>
      <c r="P120" s="40" t="n">
        <v>0</v>
      </c>
      <c r="Q120" s="40" t="n">
        <v>50</v>
      </c>
      <c r="R120" s="31" t="n">
        <f aca="false">H120*L120</f>
        <v>506.25</v>
      </c>
      <c r="S120" s="31" t="n">
        <f aca="false">H120*M120*O120</f>
        <v>473.85</v>
      </c>
      <c r="T120" s="31" t="n">
        <f aca="false">H120*P120*(1+Assumptions!$C$6)</f>
        <v>0</v>
      </c>
      <c r="U120" s="31" t="n">
        <f aca="false">H120*Q120*(1+Assumptions!$C$6)</f>
        <v>101.25</v>
      </c>
      <c r="V120" s="31" t="n">
        <f aca="false">SUM(R120:U120)</f>
        <v>1081.35</v>
      </c>
      <c r="W120" s="31" t="n">
        <f aca="false">IFERROR(V120/H120,0)</f>
        <v>540.675</v>
      </c>
      <c r="X120" s="30" t="s">
        <v>343</v>
      </c>
      <c r="Y120" s="30" t="s">
        <v>409</v>
      </c>
      <c r="Z120" s="30" t="s">
        <v>331</v>
      </c>
    </row>
    <row r="121" customFormat="false" ht="37.5" hidden="false" customHeight="true" outlineLevel="0" collapsed="false">
      <c r="B121" s="34" t="s">
        <v>410</v>
      </c>
      <c r="C121" s="34" t="s">
        <v>34</v>
      </c>
      <c r="D121" s="34" t="s">
        <v>404</v>
      </c>
      <c r="E121" s="34" t="s">
        <v>405</v>
      </c>
      <c r="F121" s="34" t="s">
        <v>411</v>
      </c>
      <c r="G121" s="34" t="s">
        <v>412</v>
      </c>
      <c r="H121" s="41" t="n">
        <v>3</v>
      </c>
      <c r="I121" s="34" t="s">
        <v>408</v>
      </c>
      <c r="J121" s="34" t="s">
        <v>331</v>
      </c>
      <c r="K121" s="40" t="n">
        <v>50</v>
      </c>
      <c r="L121" s="37" t="n">
        <f aca="false">K121*(1+Assumptions!$C$6)</f>
        <v>50.625</v>
      </c>
      <c r="M121" s="40" t="n">
        <v>4</v>
      </c>
      <c r="N121" s="37" t="s">
        <v>117</v>
      </c>
      <c r="O121" s="37" t="n">
        <f aca="false">IFERROR(VLOOKUP(N121,'Rate Buildups'!$B$6:$H$16,7,FALSE()),0)</f>
        <v>59.23125</v>
      </c>
      <c r="P121" s="40" t="n">
        <v>0</v>
      </c>
      <c r="Q121" s="40" t="n">
        <v>0</v>
      </c>
      <c r="R121" s="37" t="n">
        <f aca="false">H121*L121</f>
        <v>151.875</v>
      </c>
      <c r="S121" s="37" t="n">
        <f aca="false">H121*M121*O121</f>
        <v>710.775</v>
      </c>
      <c r="T121" s="37" t="n">
        <f aca="false">H121*P121*(1+Assumptions!$C$6)</f>
        <v>0</v>
      </c>
      <c r="U121" s="37" t="n">
        <f aca="false">H121*Q121*(1+Assumptions!$C$6)</f>
        <v>0</v>
      </c>
      <c r="V121" s="37" t="n">
        <f aca="false">SUM(R121:U121)</f>
        <v>862.65</v>
      </c>
      <c r="W121" s="37" t="n">
        <f aca="false">IFERROR(V121/H121,0)</f>
        <v>287.55</v>
      </c>
      <c r="X121" s="34" t="s">
        <v>343</v>
      </c>
      <c r="Y121" s="34" t="s">
        <v>409</v>
      </c>
      <c r="Z121" s="34" t="s">
        <v>331</v>
      </c>
    </row>
    <row r="122" customFormat="false" ht="37.5" hidden="false" customHeight="true" outlineLevel="0" collapsed="false">
      <c r="B122" s="30" t="s">
        <v>413</v>
      </c>
      <c r="C122" s="30" t="s">
        <v>34</v>
      </c>
      <c r="D122" s="30" t="s">
        <v>404</v>
      </c>
      <c r="E122" s="30" t="s">
        <v>405</v>
      </c>
      <c r="F122" s="30" t="s">
        <v>306</v>
      </c>
      <c r="G122" s="30" t="s">
        <v>414</v>
      </c>
      <c r="H122" s="39" t="n">
        <v>1</v>
      </c>
      <c r="I122" s="30" t="s">
        <v>330</v>
      </c>
      <c r="J122" s="30" t="s">
        <v>331</v>
      </c>
      <c r="K122" s="40" t="n">
        <v>100</v>
      </c>
      <c r="L122" s="31" t="n">
        <f aca="false">K122*(1+Assumptions!$C$6)</f>
        <v>101.25</v>
      </c>
      <c r="M122" s="40" t="n">
        <v>24</v>
      </c>
      <c r="N122" s="31" t="s">
        <v>117</v>
      </c>
      <c r="O122" s="31" t="n">
        <f aca="false">IFERROR(VLOOKUP(N122,'Rate Buildups'!$B$6:$H$16,7,FALSE()),0)</f>
        <v>59.23125</v>
      </c>
      <c r="P122" s="40" t="n">
        <v>0</v>
      </c>
      <c r="Q122" s="40" t="n">
        <v>100</v>
      </c>
      <c r="R122" s="31" t="n">
        <f aca="false">H122*L122</f>
        <v>101.25</v>
      </c>
      <c r="S122" s="31" t="n">
        <f aca="false">H122*M122*O122</f>
        <v>1421.55</v>
      </c>
      <c r="T122" s="31" t="n">
        <f aca="false">H122*P122*(1+Assumptions!$C$6)</f>
        <v>0</v>
      </c>
      <c r="U122" s="31" t="n">
        <f aca="false">H122*Q122*(1+Assumptions!$C$6)</f>
        <v>101.25</v>
      </c>
      <c r="V122" s="31" t="n">
        <f aca="false">SUM(R122:U122)</f>
        <v>1624.05</v>
      </c>
      <c r="W122" s="31" t="n">
        <f aca="false">IFERROR(V122/H122,0)</f>
        <v>1624.05</v>
      </c>
      <c r="X122" s="30" t="s">
        <v>153</v>
      </c>
      <c r="Y122" s="30" t="s">
        <v>415</v>
      </c>
      <c r="Z122" s="30" t="s">
        <v>331</v>
      </c>
    </row>
    <row r="123" customFormat="false" ht="37.5" hidden="false" customHeight="true" outlineLevel="0" collapsed="false">
      <c r="B123" s="34" t="s">
        <v>416</v>
      </c>
      <c r="C123" s="34" t="s">
        <v>34</v>
      </c>
      <c r="D123" s="34" t="s">
        <v>404</v>
      </c>
      <c r="E123" s="34" t="s">
        <v>405</v>
      </c>
      <c r="F123" s="34" t="s">
        <v>306</v>
      </c>
      <c r="G123" s="34" t="s">
        <v>417</v>
      </c>
      <c r="H123" s="41" t="n">
        <v>4</v>
      </c>
      <c r="I123" s="34" t="s">
        <v>335</v>
      </c>
      <c r="J123" s="34" t="s">
        <v>331</v>
      </c>
      <c r="K123" s="40" t="n">
        <v>25</v>
      </c>
      <c r="L123" s="37" t="n">
        <f aca="false">K123*(1+Assumptions!$C$6)</f>
        <v>25.3125</v>
      </c>
      <c r="M123" s="40" t="n">
        <v>3</v>
      </c>
      <c r="N123" s="37" t="s">
        <v>117</v>
      </c>
      <c r="O123" s="37" t="n">
        <f aca="false">IFERROR(VLOOKUP(N123,'Rate Buildups'!$B$6:$H$16,7,FALSE()),0)</f>
        <v>59.23125</v>
      </c>
      <c r="P123" s="40" t="n">
        <v>0</v>
      </c>
      <c r="Q123" s="40" t="n">
        <v>25</v>
      </c>
      <c r="R123" s="37" t="n">
        <f aca="false">H123*L123</f>
        <v>101.25</v>
      </c>
      <c r="S123" s="37" t="n">
        <f aca="false">H123*M123*O123</f>
        <v>710.775</v>
      </c>
      <c r="T123" s="37" t="n">
        <f aca="false">H123*P123*(1+Assumptions!$C$6)</f>
        <v>0</v>
      </c>
      <c r="U123" s="37" t="n">
        <f aca="false">H123*Q123*(1+Assumptions!$C$6)</f>
        <v>101.25</v>
      </c>
      <c r="V123" s="37" t="n">
        <f aca="false">SUM(R123:U123)</f>
        <v>913.275</v>
      </c>
      <c r="W123" s="37" t="n">
        <f aca="false">IFERROR(V123/H123,0)</f>
        <v>228.31875</v>
      </c>
      <c r="X123" s="34" t="s">
        <v>343</v>
      </c>
      <c r="Y123" s="34" t="s">
        <v>418</v>
      </c>
      <c r="Z123" s="34" t="s">
        <v>331</v>
      </c>
    </row>
    <row r="124" customFormat="false" ht="37.5" hidden="false" customHeight="true" outlineLevel="0" collapsed="false">
      <c r="B124" s="42" t="s">
        <v>419</v>
      </c>
      <c r="C124" s="42" t="s">
        <v>420</v>
      </c>
      <c r="D124" s="42" t="s">
        <v>148</v>
      </c>
      <c r="E124" s="42" t="s">
        <v>421</v>
      </c>
      <c r="F124" s="42" t="s">
        <v>31</v>
      </c>
      <c r="G124" s="42" t="s">
        <v>422</v>
      </c>
      <c r="H124" s="43" t="n">
        <v>2</v>
      </c>
      <c r="I124" s="42" t="s">
        <v>165</v>
      </c>
      <c r="J124" s="42" t="s">
        <v>423</v>
      </c>
      <c r="K124" s="44" t="n">
        <v>850</v>
      </c>
      <c r="L124" s="45" t="n">
        <f aca="false">K124*(1+Assumptions!$C$6)</f>
        <v>860.625</v>
      </c>
      <c r="M124" s="44" t="n">
        <v>14</v>
      </c>
      <c r="N124" s="45" t="s">
        <v>92</v>
      </c>
      <c r="O124" s="45" t="n">
        <f aca="false">IFERROR(VLOOKUP(N124,'Rate Buildups'!$B$6:$H$16,7,FALSE()),0)</f>
        <v>45.6481575</v>
      </c>
      <c r="P124" s="44" t="n">
        <v>25</v>
      </c>
      <c r="Q124" s="44" t="n">
        <v>200</v>
      </c>
      <c r="R124" s="45" t="n">
        <f aca="false">H124*L124</f>
        <v>1721.25</v>
      </c>
      <c r="S124" s="45" t="n">
        <f aca="false">H124*M124*O124</f>
        <v>1278.14841</v>
      </c>
      <c r="T124" s="45" t="n">
        <f aca="false">H124*P124*(1+Assumptions!$C$6)</f>
        <v>50.625</v>
      </c>
      <c r="U124" s="45" t="n">
        <f aca="false">H124*Q124*(1+Assumptions!$C$6)</f>
        <v>405</v>
      </c>
      <c r="V124" s="45" t="n">
        <f aca="false">SUM(R124:U124)</f>
        <v>3455.02341</v>
      </c>
      <c r="W124" s="45" t="n">
        <f aca="false">IFERROR(V124/H124,0)</f>
        <v>1727.511705</v>
      </c>
      <c r="X124" s="42" t="s">
        <v>302</v>
      </c>
      <c r="Y124" s="42" t="s">
        <v>423</v>
      </c>
      <c r="Z124" s="42" t="s">
        <v>424</v>
      </c>
    </row>
    <row r="125" customFormat="false" ht="37.5" hidden="false" customHeight="true" outlineLevel="0" collapsed="false">
      <c r="B125" s="42" t="s">
        <v>425</v>
      </c>
      <c r="C125" s="42" t="s">
        <v>426</v>
      </c>
      <c r="D125" s="42" t="s">
        <v>427</v>
      </c>
      <c r="E125" s="42" t="s">
        <v>421</v>
      </c>
      <c r="F125" s="42" t="s">
        <v>31</v>
      </c>
      <c r="G125" s="42" t="s">
        <v>428</v>
      </c>
      <c r="H125" s="43" t="n">
        <v>1</v>
      </c>
      <c r="I125" s="42" t="s">
        <v>165</v>
      </c>
      <c r="J125" s="42" t="s">
        <v>423</v>
      </c>
      <c r="K125" s="44" t="n">
        <v>1100</v>
      </c>
      <c r="L125" s="45" t="n">
        <f aca="false">K125*(1+Assumptions!$C$6)</f>
        <v>1113.75</v>
      </c>
      <c r="M125" s="44" t="n">
        <v>16</v>
      </c>
      <c r="N125" s="45" t="s">
        <v>92</v>
      </c>
      <c r="O125" s="45" t="n">
        <f aca="false">IFERROR(VLOOKUP(N125,'Rate Buildups'!$B$6:$H$16,7,FALSE()),0)</f>
        <v>45.6481575</v>
      </c>
      <c r="P125" s="44" t="n">
        <v>25</v>
      </c>
      <c r="Q125" s="44" t="n">
        <v>250</v>
      </c>
      <c r="R125" s="45" t="n">
        <f aca="false">H125*L125</f>
        <v>1113.75</v>
      </c>
      <c r="S125" s="45" t="n">
        <f aca="false">H125*M125*O125</f>
        <v>730.37052</v>
      </c>
      <c r="T125" s="45" t="n">
        <f aca="false">H125*P125*(1+Assumptions!$C$6)</f>
        <v>25.3125</v>
      </c>
      <c r="U125" s="45" t="n">
        <f aca="false">H125*Q125*(1+Assumptions!$C$6)</f>
        <v>253.125</v>
      </c>
      <c r="V125" s="45" t="n">
        <f aca="false">SUM(R125:U125)</f>
        <v>2122.55802</v>
      </c>
      <c r="W125" s="45" t="n">
        <f aca="false">IFERROR(V125/H125,0)</f>
        <v>2122.55802</v>
      </c>
      <c r="X125" s="42" t="s">
        <v>302</v>
      </c>
      <c r="Y125" s="42" t="s">
        <v>423</v>
      </c>
      <c r="Z125" s="42" t="s">
        <v>429</v>
      </c>
    </row>
    <row r="126" customFormat="false" ht="37.5" hidden="false" customHeight="true" outlineLevel="0" collapsed="false">
      <c r="B126" s="42" t="s">
        <v>430</v>
      </c>
      <c r="C126" s="42" t="s">
        <v>420</v>
      </c>
      <c r="D126" s="42" t="s">
        <v>148</v>
      </c>
      <c r="E126" s="42" t="s">
        <v>421</v>
      </c>
      <c r="F126" s="42" t="s">
        <v>33</v>
      </c>
      <c r="G126" s="42" t="s">
        <v>422</v>
      </c>
      <c r="H126" s="43" t="n">
        <v>2</v>
      </c>
      <c r="I126" s="42" t="s">
        <v>165</v>
      </c>
      <c r="J126" s="42" t="s">
        <v>423</v>
      </c>
      <c r="K126" s="44" t="n">
        <v>850</v>
      </c>
      <c r="L126" s="45" t="n">
        <f aca="false">K126*(1+Assumptions!$C$6)</f>
        <v>860.625</v>
      </c>
      <c r="M126" s="44" t="n">
        <v>14</v>
      </c>
      <c r="N126" s="45" t="s">
        <v>92</v>
      </c>
      <c r="O126" s="45" t="n">
        <f aca="false">IFERROR(VLOOKUP(N126,'Rate Buildups'!$B$6:$H$16,7,FALSE()),0)</f>
        <v>45.6481575</v>
      </c>
      <c r="P126" s="44" t="n">
        <v>25</v>
      </c>
      <c r="Q126" s="44" t="n">
        <v>200</v>
      </c>
      <c r="R126" s="45" t="n">
        <f aca="false">H126*L126</f>
        <v>1721.25</v>
      </c>
      <c r="S126" s="45" t="n">
        <f aca="false">H126*M126*O126</f>
        <v>1278.14841</v>
      </c>
      <c r="T126" s="45" t="n">
        <f aca="false">H126*P126*(1+Assumptions!$C$6)</f>
        <v>50.625</v>
      </c>
      <c r="U126" s="45" t="n">
        <f aca="false">H126*Q126*(1+Assumptions!$C$6)</f>
        <v>405</v>
      </c>
      <c r="V126" s="45" t="n">
        <f aca="false">SUM(R126:U126)</f>
        <v>3455.02341</v>
      </c>
      <c r="W126" s="45" t="n">
        <f aca="false">IFERROR(V126/H126,0)</f>
        <v>1727.511705</v>
      </c>
      <c r="X126" s="42" t="s">
        <v>302</v>
      </c>
      <c r="Y126" s="42" t="s">
        <v>423</v>
      </c>
      <c r="Z126" s="42" t="s">
        <v>424</v>
      </c>
    </row>
    <row r="127" customFormat="false" ht="37.5" hidden="false" customHeight="true" outlineLevel="0" collapsed="false">
      <c r="B127" s="42" t="s">
        <v>431</v>
      </c>
      <c r="C127" s="42" t="s">
        <v>426</v>
      </c>
      <c r="D127" s="42" t="s">
        <v>427</v>
      </c>
      <c r="E127" s="42" t="s">
        <v>421</v>
      </c>
      <c r="F127" s="42" t="s">
        <v>33</v>
      </c>
      <c r="G127" s="42" t="s">
        <v>428</v>
      </c>
      <c r="H127" s="43" t="n">
        <v>1</v>
      </c>
      <c r="I127" s="42" t="s">
        <v>165</v>
      </c>
      <c r="J127" s="42" t="s">
        <v>423</v>
      </c>
      <c r="K127" s="44" t="n">
        <v>1100</v>
      </c>
      <c r="L127" s="45" t="n">
        <f aca="false">K127*(1+Assumptions!$C$6)</f>
        <v>1113.75</v>
      </c>
      <c r="M127" s="44" t="n">
        <v>16</v>
      </c>
      <c r="N127" s="45" t="s">
        <v>92</v>
      </c>
      <c r="O127" s="45" t="n">
        <f aca="false">IFERROR(VLOOKUP(N127,'Rate Buildups'!$B$6:$H$16,7,FALSE()),0)</f>
        <v>45.6481575</v>
      </c>
      <c r="P127" s="44" t="n">
        <v>25</v>
      </c>
      <c r="Q127" s="44" t="n">
        <v>250</v>
      </c>
      <c r="R127" s="45" t="n">
        <f aca="false">H127*L127</f>
        <v>1113.75</v>
      </c>
      <c r="S127" s="45" t="n">
        <f aca="false">H127*M127*O127</f>
        <v>730.37052</v>
      </c>
      <c r="T127" s="45" t="n">
        <f aca="false">H127*P127*(1+Assumptions!$C$6)</f>
        <v>25.3125</v>
      </c>
      <c r="U127" s="45" t="n">
        <f aca="false">H127*Q127*(1+Assumptions!$C$6)</f>
        <v>253.125</v>
      </c>
      <c r="V127" s="45" t="n">
        <f aca="false">SUM(R127:U127)</f>
        <v>2122.55802</v>
      </c>
      <c r="W127" s="45" t="n">
        <f aca="false">IFERROR(V127/H127,0)</f>
        <v>2122.55802</v>
      </c>
      <c r="X127" s="42" t="s">
        <v>302</v>
      </c>
      <c r="Y127" s="42" t="s">
        <v>423</v>
      </c>
      <c r="Z127" s="42" t="s">
        <v>429</v>
      </c>
    </row>
    <row r="128" customFormat="false" ht="37.5" hidden="false" customHeight="true" outlineLevel="0" collapsed="false">
      <c r="B128" s="42" t="s">
        <v>432</v>
      </c>
      <c r="C128" s="42" t="s">
        <v>420</v>
      </c>
      <c r="D128" s="42" t="s">
        <v>148</v>
      </c>
      <c r="E128" s="42" t="s">
        <v>421</v>
      </c>
      <c r="F128" s="42" t="s">
        <v>35</v>
      </c>
      <c r="G128" s="42" t="s">
        <v>422</v>
      </c>
      <c r="H128" s="43" t="n">
        <v>2</v>
      </c>
      <c r="I128" s="42" t="s">
        <v>165</v>
      </c>
      <c r="J128" s="42" t="s">
        <v>423</v>
      </c>
      <c r="K128" s="44" t="n">
        <v>850</v>
      </c>
      <c r="L128" s="45" t="n">
        <f aca="false">K128*(1+Assumptions!$C$6)</f>
        <v>860.625</v>
      </c>
      <c r="M128" s="44" t="n">
        <v>14</v>
      </c>
      <c r="N128" s="45" t="s">
        <v>92</v>
      </c>
      <c r="O128" s="45" t="n">
        <f aca="false">IFERROR(VLOOKUP(N128,'Rate Buildups'!$B$6:$H$16,7,FALSE()),0)</f>
        <v>45.6481575</v>
      </c>
      <c r="P128" s="44" t="n">
        <v>25</v>
      </c>
      <c r="Q128" s="44" t="n">
        <v>200</v>
      </c>
      <c r="R128" s="45" t="n">
        <f aca="false">H128*L128</f>
        <v>1721.25</v>
      </c>
      <c r="S128" s="45" t="n">
        <f aca="false">H128*M128*O128</f>
        <v>1278.14841</v>
      </c>
      <c r="T128" s="45" t="n">
        <f aca="false">H128*P128*(1+Assumptions!$C$6)</f>
        <v>50.625</v>
      </c>
      <c r="U128" s="45" t="n">
        <f aca="false">H128*Q128*(1+Assumptions!$C$6)</f>
        <v>405</v>
      </c>
      <c r="V128" s="45" t="n">
        <f aca="false">SUM(R128:U128)</f>
        <v>3455.02341</v>
      </c>
      <c r="W128" s="45" t="n">
        <f aca="false">IFERROR(V128/H128,0)</f>
        <v>1727.511705</v>
      </c>
      <c r="X128" s="42" t="s">
        <v>302</v>
      </c>
      <c r="Y128" s="42" t="s">
        <v>423</v>
      </c>
      <c r="Z128" s="42" t="s">
        <v>424</v>
      </c>
    </row>
    <row r="129" customFormat="false" ht="37.5" hidden="false" customHeight="true" outlineLevel="0" collapsed="false">
      <c r="B129" s="42" t="s">
        <v>433</v>
      </c>
      <c r="C129" s="42" t="s">
        <v>426</v>
      </c>
      <c r="D129" s="42" t="s">
        <v>427</v>
      </c>
      <c r="E129" s="42" t="s">
        <v>421</v>
      </c>
      <c r="F129" s="42" t="s">
        <v>35</v>
      </c>
      <c r="G129" s="42" t="s">
        <v>428</v>
      </c>
      <c r="H129" s="43" t="n">
        <v>1</v>
      </c>
      <c r="I129" s="42" t="s">
        <v>165</v>
      </c>
      <c r="J129" s="42" t="s">
        <v>423</v>
      </c>
      <c r="K129" s="44" t="n">
        <v>1100</v>
      </c>
      <c r="L129" s="45" t="n">
        <f aca="false">K129*(1+Assumptions!$C$6)</f>
        <v>1113.75</v>
      </c>
      <c r="M129" s="44" t="n">
        <v>16</v>
      </c>
      <c r="N129" s="45" t="s">
        <v>92</v>
      </c>
      <c r="O129" s="45" t="n">
        <f aca="false">IFERROR(VLOOKUP(N129,'Rate Buildups'!$B$6:$H$16,7,FALSE()),0)</f>
        <v>45.6481575</v>
      </c>
      <c r="P129" s="44" t="n">
        <v>25</v>
      </c>
      <c r="Q129" s="44" t="n">
        <v>250</v>
      </c>
      <c r="R129" s="45" t="n">
        <f aca="false">H129*L129</f>
        <v>1113.75</v>
      </c>
      <c r="S129" s="45" t="n">
        <f aca="false">H129*M129*O129</f>
        <v>730.37052</v>
      </c>
      <c r="T129" s="45" t="n">
        <f aca="false">H129*P129*(1+Assumptions!$C$6)</f>
        <v>25.3125</v>
      </c>
      <c r="U129" s="45" t="n">
        <f aca="false">H129*Q129*(1+Assumptions!$C$6)</f>
        <v>253.125</v>
      </c>
      <c r="V129" s="45" t="n">
        <f aca="false">SUM(R129:U129)</f>
        <v>2122.55802</v>
      </c>
      <c r="W129" s="45" t="n">
        <f aca="false">IFERROR(V129/H129,0)</f>
        <v>2122.55802</v>
      </c>
      <c r="X129" s="42" t="s">
        <v>302</v>
      </c>
      <c r="Y129" s="42" t="s">
        <v>423</v>
      </c>
      <c r="Z129" s="42" t="s">
        <v>429</v>
      </c>
    </row>
    <row r="130" customFormat="false" ht="37.5" hidden="false" customHeight="true" outlineLevel="0" collapsed="false">
      <c r="B130" s="42" t="s">
        <v>434</v>
      </c>
      <c r="C130" s="42" t="s">
        <v>420</v>
      </c>
      <c r="D130" s="42" t="s">
        <v>148</v>
      </c>
      <c r="E130" s="42" t="s">
        <v>421</v>
      </c>
      <c r="F130" s="42" t="s">
        <v>37</v>
      </c>
      <c r="G130" s="42" t="s">
        <v>422</v>
      </c>
      <c r="H130" s="43" t="n">
        <v>2</v>
      </c>
      <c r="I130" s="42" t="s">
        <v>165</v>
      </c>
      <c r="J130" s="42" t="s">
        <v>423</v>
      </c>
      <c r="K130" s="44" t="n">
        <v>850</v>
      </c>
      <c r="L130" s="45" t="n">
        <f aca="false">K130*(1+Assumptions!$C$6)</f>
        <v>860.625</v>
      </c>
      <c r="M130" s="44" t="n">
        <v>14</v>
      </c>
      <c r="N130" s="45" t="s">
        <v>92</v>
      </c>
      <c r="O130" s="45" t="n">
        <f aca="false">IFERROR(VLOOKUP(N130,'Rate Buildups'!$B$6:$H$16,7,FALSE()),0)</f>
        <v>45.6481575</v>
      </c>
      <c r="P130" s="44" t="n">
        <v>25</v>
      </c>
      <c r="Q130" s="44" t="n">
        <v>200</v>
      </c>
      <c r="R130" s="45" t="n">
        <f aca="false">H130*L130</f>
        <v>1721.25</v>
      </c>
      <c r="S130" s="45" t="n">
        <f aca="false">H130*M130*O130</f>
        <v>1278.14841</v>
      </c>
      <c r="T130" s="45" t="n">
        <f aca="false">H130*P130*(1+Assumptions!$C$6)</f>
        <v>50.625</v>
      </c>
      <c r="U130" s="45" t="n">
        <f aca="false">H130*Q130*(1+Assumptions!$C$6)</f>
        <v>405</v>
      </c>
      <c r="V130" s="45" t="n">
        <f aca="false">SUM(R130:U130)</f>
        <v>3455.02341</v>
      </c>
      <c r="W130" s="45" t="n">
        <f aca="false">IFERROR(V130/H130,0)</f>
        <v>1727.511705</v>
      </c>
      <c r="X130" s="42" t="s">
        <v>302</v>
      </c>
      <c r="Y130" s="42" t="s">
        <v>423</v>
      </c>
      <c r="Z130" s="42" t="s">
        <v>424</v>
      </c>
    </row>
    <row r="131" customFormat="false" ht="37.5" hidden="false" customHeight="true" outlineLevel="0" collapsed="false">
      <c r="B131" s="42" t="s">
        <v>435</v>
      </c>
      <c r="C131" s="42" t="s">
        <v>426</v>
      </c>
      <c r="D131" s="42" t="s">
        <v>427</v>
      </c>
      <c r="E131" s="42" t="s">
        <v>421</v>
      </c>
      <c r="F131" s="42" t="s">
        <v>37</v>
      </c>
      <c r="G131" s="42" t="s">
        <v>428</v>
      </c>
      <c r="H131" s="43" t="n">
        <v>1</v>
      </c>
      <c r="I131" s="42" t="s">
        <v>165</v>
      </c>
      <c r="J131" s="42" t="s">
        <v>423</v>
      </c>
      <c r="K131" s="44" t="n">
        <v>1100</v>
      </c>
      <c r="L131" s="45" t="n">
        <f aca="false">K131*(1+Assumptions!$C$6)</f>
        <v>1113.75</v>
      </c>
      <c r="M131" s="44" t="n">
        <v>16</v>
      </c>
      <c r="N131" s="45" t="s">
        <v>92</v>
      </c>
      <c r="O131" s="45" t="n">
        <f aca="false">IFERROR(VLOOKUP(N131,'Rate Buildups'!$B$6:$H$16,7,FALSE()),0)</f>
        <v>45.6481575</v>
      </c>
      <c r="P131" s="44" t="n">
        <v>25</v>
      </c>
      <c r="Q131" s="44" t="n">
        <v>250</v>
      </c>
      <c r="R131" s="45" t="n">
        <f aca="false">H131*L131</f>
        <v>1113.75</v>
      </c>
      <c r="S131" s="45" t="n">
        <f aca="false">H131*M131*O131</f>
        <v>730.37052</v>
      </c>
      <c r="T131" s="45" t="n">
        <f aca="false">H131*P131*(1+Assumptions!$C$6)</f>
        <v>25.3125</v>
      </c>
      <c r="U131" s="45" t="n">
        <f aca="false">H131*Q131*(1+Assumptions!$C$6)</f>
        <v>253.125</v>
      </c>
      <c r="V131" s="45" t="n">
        <f aca="false">SUM(R131:U131)</f>
        <v>2122.55802</v>
      </c>
      <c r="W131" s="45" t="n">
        <f aca="false">IFERROR(V131/H131,0)</f>
        <v>2122.55802</v>
      </c>
      <c r="X131" s="42" t="s">
        <v>302</v>
      </c>
      <c r="Y131" s="42" t="s">
        <v>423</v>
      </c>
      <c r="Z131" s="42" t="s">
        <v>429</v>
      </c>
    </row>
  </sheetData>
  <mergeCells count="2">
    <mergeCell ref="B2:Z2"/>
    <mergeCell ref="B3:Z3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Bellevue · Non-union · Q1 2027 · ROM Budget&amp;R&amp;8 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8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78"/>
  </cols>
  <sheetData>
    <row r="2" customFormat="false" ht="33.75" hidden="false" customHeight="true" outlineLevel="0" collapsed="false">
      <c r="B2" s="27" t="s">
        <v>436</v>
      </c>
      <c r="C2" s="27"/>
      <c r="D2" s="27"/>
      <c r="E2" s="27"/>
      <c r="F2" s="27"/>
    </row>
    <row r="3" customFormat="false" ht="31.5" hidden="false" customHeight="true" outlineLevel="0" collapsed="false">
      <c r="B3" s="28" t="s">
        <v>437</v>
      </c>
      <c r="C3" s="28"/>
      <c r="D3" s="28"/>
      <c r="E3" s="28"/>
      <c r="F3" s="28"/>
    </row>
    <row r="5" customFormat="false" ht="37.5" hidden="false" customHeight="true" outlineLevel="0" collapsed="false">
      <c r="B5" s="29" t="s">
        <v>438</v>
      </c>
      <c r="C5" s="29" t="s">
        <v>439</v>
      </c>
      <c r="D5" s="29" t="s">
        <v>440</v>
      </c>
      <c r="E5" s="29" t="s">
        <v>441</v>
      </c>
      <c r="F5" s="29" t="s">
        <v>442</v>
      </c>
    </row>
    <row r="6" customFormat="false" ht="37.5" hidden="false" customHeight="true" outlineLevel="0" collapsed="false">
      <c r="B6" s="30" t="s">
        <v>443</v>
      </c>
      <c r="C6" s="30" t="s">
        <v>444</v>
      </c>
      <c r="D6" s="30" t="s">
        <v>445</v>
      </c>
      <c r="E6" s="30" t="s">
        <v>446</v>
      </c>
      <c r="F6" s="30" t="s">
        <v>447</v>
      </c>
    </row>
    <row r="7" customFormat="false" ht="37.5" hidden="false" customHeight="true" outlineLevel="0" collapsed="false">
      <c r="B7" s="34" t="s">
        <v>448</v>
      </c>
      <c r="C7" s="34" t="s">
        <v>449</v>
      </c>
      <c r="D7" s="34" t="s">
        <v>450</v>
      </c>
      <c r="E7" s="34" t="s">
        <v>451</v>
      </c>
      <c r="F7" s="34" t="s">
        <v>452</v>
      </c>
    </row>
    <row r="8" customFormat="false" ht="37.5" hidden="false" customHeight="true" outlineLevel="0" collapsed="false">
      <c r="B8" s="30" t="s">
        <v>453</v>
      </c>
      <c r="C8" s="30" t="s">
        <v>454</v>
      </c>
      <c r="D8" s="30" t="s">
        <v>455</v>
      </c>
      <c r="E8" s="30" t="s">
        <v>456</v>
      </c>
      <c r="F8" s="30" t="s">
        <v>457</v>
      </c>
    </row>
    <row r="9" customFormat="false" ht="37.5" hidden="false" customHeight="true" outlineLevel="0" collapsed="false">
      <c r="B9" s="34" t="s">
        <v>458</v>
      </c>
      <c r="C9" s="34" t="s">
        <v>459</v>
      </c>
      <c r="D9" s="34" t="s">
        <v>460</v>
      </c>
      <c r="E9" s="34" t="s">
        <v>461</v>
      </c>
      <c r="F9" s="34" t="s">
        <v>462</v>
      </c>
    </row>
    <row r="10" customFormat="false" ht="37.5" hidden="false" customHeight="true" outlineLevel="0" collapsed="false">
      <c r="B10" s="30" t="s">
        <v>463</v>
      </c>
      <c r="C10" s="30" t="s">
        <v>464</v>
      </c>
      <c r="D10" s="30" t="s">
        <v>465</v>
      </c>
      <c r="E10" s="30" t="s">
        <v>466</v>
      </c>
      <c r="F10" s="30" t="s">
        <v>467</v>
      </c>
    </row>
    <row r="11" customFormat="false" ht="37.5" hidden="false" customHeight="true" outlineLevel="0" collapsed="false">
      <c r="B11" s="34" t="s">
        <v>468</v>
      </c>
      <c r="C11" s="34" t="s">
        <v>469</v>
      </c>
      <c r="D11" s="34" t="s">
        <v>470</v>
      </c>
      <c r="E11" s="34" t="s">
        <v>466</v>
      </c>
      <c r="F11" s="34" t="s">
        <v>471</v>
      </c>
    </row>
    <row r="12" customFormat="false" ht="37.5" hidden="false" customHeight="true" outlineLevel="0" collapsed="false">
      <c r="B12" s="30" t="s">
        <v>472</v>
      </c>
      <c r="C12" s="30" t="s">
        <v>473</v>
      </c>
      <c r="D12" s="30" t="s">
        <v>474</v>
      </c>
      <c r="E12" s="30" t="s">
        <v>475</v>
      </c>
      <c r="F12" s="30" t="s">
        <v>476</v>
      </c>
    </row>
    <row r="13" customFormat="false" ht="37.5" hidden="false" customHeight="true" outlineLevel="0" collapsed="false">
      <c r="B13" s="34" t="s">
        <v>477</v>
      </c>
      <c r="C13" s="34" t="s">
        <v>478</v>
      </c>
      <c r="D13" s="34" t="s">
        <v>479</v>
      </c>
      <c r="E13" s="34" t="s">
        <v>475</v>
      </c>
      <c r="F13" s="34" t="s">
        <v>480</v>
      </c>
    </row>
    <row r="14" customFormat="false" ht="37.5" hidden="false" customHeight="true" outlineLevel="0" collapsed="false">
      <c r="B14" s="30" t="s">
        <v>481</v>
      </c>
      <c r="C14" s="30" t="s">
        <v>482</v>
      </c>
      <c r="D14" s="30" t="s">
        <v>483</v>
      </c>
      <c r="E14" s="30" t="s">
        <v>484</v>
      </c>
      <c r="F14" s="30" t="s">
        <v>485</v>
      </c>
    </row>
    <row r="15" customFormat="false" ht="37.5" hidden="false" customHeight="true" outlineLevel="0" collapsed="false">
      <c r="B15" s="34" t="s">
        <v>486</v>
      </c>
      <c r="C15" s="34" t="s">
        <v>487</v>
      </c>
      <c r="D15" s="34" t="s">
        <v>488</v>
      </c>
      <c r="E15" s="34" t="s">
        <v>489</v>
      </c>
      <c r="F15" s="34" t="s">
        <v>490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Bellevue · Non-union · Q1 2027 · ROM Budget&amp;R&amp;8 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2026-10-25T02:48:53Z</dcterms:created>
  <dc:creator>openpyxl</dc:creator>
  <dc:description/>
  <dc:language>en-US</dc:language>
  <cp:lastModifiedBy/>
  <dcterms:modified xsi:type="dcterms:W3CDTF">2026-10-25T02:48:53Z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